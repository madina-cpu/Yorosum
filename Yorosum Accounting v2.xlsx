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rice Calculato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atches" sheetId="4" state="visible" r:id="rId4"/>
    <sheet xmlns:r="http://schemas.openxmlformats.org/officeDocument/2006/relationships" name="Shipment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Sales" sheetId="7" state="visible" r:id="rId7"/>
    <sheet xmlns:r="http://schemas.openxmlformats.org/officeDocument/2006/relationships" name="Op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;(#,##0.00);&quot;-&quot;"/>
    <numFmt numFmtId="165" formatCode="0.0000"/>
    <numFmt numFmtId="166" formatCode="#,##0;(#,##0);&quot;-&quot;"/>
    <numFmt numFmtId="167" formatCode="$#,##0.00;($#,##0.00);&quot;-&quot;"/>
    <numFmt numFmtId="168" formatCode="0.0%;(0.0%);&quot;-&quot;"/>
    <numFmt numFmtId="169" formatCode="#,##0.0"/>
    <numFmt numFmtId="170" formatCode="0.000"/>
    <numFmt numFmtId="171" formatCode="$#,##0;($#,##0);&quot;-&quot;"/>
    <numFmt numFmtId="172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name val="Arial"/>
      <i val="1"/>
      <color rgb="00000000"/>
      <sz val="10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166" fontId="6" fillId="0" borderId="0" pivotButton="0" quotePrefix="0" xfId="0"/>
    <xf numFmtId="0" fontId="6" fillId="3" borderId="0" pivotButton="0" quotePrefix="0" xfId="0"/>
    <xf numFmtId="166" fontId="8" fillId="0" borderId="0" pivotButton="0" quotePrefix="0" xfId="0"/>
    <xf numFmtId="167" fontId="6" fillId="0" borderId="0" pivotButton="0" quotePrefix="0" xfId="0"/>
    <xf numFmtId="3" fontId="6" fillId="0" borderId="0" pivotButton="0" quotePrefix="0" xfId="0"/>
    <xf numFmtId="2" fontId="6" fillId="0" borderId="0" pivotButton="0" quotePrefix="0" xfId="0"/>
    <xf numFmtId="1" fontId="6" fillId="3" borderId="0" pivotButton="0" quotePrefix="0" xfId="0"/>
    <xf numFmtId="168" fontId="6" fillId="3" borderId="0" pivotButton="0" quotePrefix="0" xfId="0"/>
    <xf numFmtId="3" fontId="5" fillId="0" borderId="0" pivotButton="0" quotePrefix="0" xfId="0"/>
    <xf numFmtId="2" fontId="5" fillId="0" borderId="0" pivotButton="0" quotePrefix="0" xfId="0"/>
    <xf numFmtId="169" fontId="5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5" fontId="9" fillId="0" borderId="0" pivotButton="0" quotePrefix="0" xfId="0"/>
    <xf numFmtId="168" fontId="6" fillId="0" borderId="0" pivotButton="0" quotePrefix="0" xfId="0"/>
    <xf numFmtId="166" fontId="6" fillId="3" borderId="0" pivotButton="0" quotePrefix="0" xfId="0"/>
    <xf numFmtId="0" fontId="7" fillId="0" borderId="0" pivotButton="0" quotePrefix="0" xfId="0"/>
    <xf numFmtId="1" fontId="5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1" fillId="0" borderId="0" pivotButton="0" quotePrefix="0" xfId="0"/>
    <xf numFmtId="166" fontId="1" fillId="0" borderId="0" pivotButton="0" quotePrefix="0" xfId="0"/>
    <xf numFmtId="168" fontId="5" fillId="0" borderId="0" pivotButton="0" quotePrefix="0" xfId="0"/>
    <xf numFmtId="168" fontId="7" fillId="0" borderId="0" pivotButton="0" quotePrefix="0" xfId="0"/>
    <xf numFmtId="170" fontId="5" fillId="0" borderId="0" pivotButton="0" quotePrefix="0" xfId="0"/>
    <xf numFmtId="164" fontId="7" fillId="0" borderId="0" pivotButton="0" quotePrefix="0" xfId="0"/>
    <xf numFmtId="168" fontId="1" fillId="0" borderId="0" pivotButton="0" quotePrefix="0" xfId="0"/>
    <xf numFmtId="3" fontId="1" fillId="0" borderId="0" pivotButton="0" quotePrefix="0" xfId="0"/>
    <xf numFmtId="167" fontId="7" fillId="0" borderId="0" pivotButton="0" quotePrefix="0" xfId="0"/>
    <xf numFmtId="171" fontId="5" fillId="0" borderId="0" pivotButton="0" quotePrefix="0" xfId="0"/>
    <xf numFmtId="49" fontId="4" fillId="2" borderId="0" applyAlignment="1" pivotButton="0" quotePrefix="0" xfId="0">
      <alignment horizontal="center" vertical="center" wrapText="1"/>
    </xf>
    <xf numFmtId="172" fontId="6" fillId="0" borderId="0" pivotButton="0" quotePrefix="0" xfId="0"/>
    <xf numFmtId="172" fontId="6" fillId="3" borderId="0" pivotButton="0" quotePrefix="0" xfId="0"/>
    <xf numFmtId="17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Yorosum Settings</t>
        </is>
      </c>
    </row>
    <row r="2">
      <c r="A2" s="2" t="inlineStr">
        <is>
          <t>Blue text = input you can change. Yellow fill = replace with your real figure. Black = formula. Green = link to another tab.</t>
        </is>
      </c>
    </row>
    <row r="3">
      <c r="A3" s="2" t="inlineStr">
        <is>
          <t>Every other tab reads from this one. Change a number here and all prices, margins and totals update.</t>
        </is>
      </c>
    </row>
    <row r="5">
      <c r="A5" s="3" t="inlineStr">
        <is>
          <t>Exchange rates</t>
        </is>
      </c>
      <c r="B5" s="3" t="inlineStr">
        <is>
          <t>Live rate</t>
        </is>
      </c>
      <c r="C5" s="3" t="inlineStr">
        <is>
          <t>Manual rate (optional)</t>
        </is>
      </c>
      <c r="D5" s="3" t="inlineStr">
        <is>
          <t>Rate used</t>
        </is>
      </c>
      <c r="E5" s="3" t="inlineStr">
        <is>
          <t>Note</t>
        </is>
      </c>
    </row>
    <row r="6">
      <c r="A6" s="4" t="inlineStr">
        <is>
          <t>USD/KRW (KRW per 1 USD)</t>
        </is>
      </c>
      <c r="B6" s="5">
        <f>GOOGLEFINANCE("CURRENCY:USDKRW")</f>
        <v/>
      </c>
      <c r="C6" s="6" t="n">
        <v>1327</v>
      </c>
      <c r="D6" s="5">
        <f>IF(C6="",B6,C6)</f>
        <v/>
      </c>
      <c r="E6" s="4" t="inlineStr">
        <is>
          <t>Clear the manual rate to use the live rate.</t>
        </is>
      </c>
    </row>
    <row r="7">
      <c r="A7" s="4" t="inlineStr">
        <is>
          <t>USD/UZS (UZS per 1 USD)</t>
        </is>
      </c>
      <c r="B7" s="5">
        <f>GOOGLEFINANCE("CURRENCY:USDUZS")</f>
        <v/>
      </c>
      <c r="C7" s="6" t="n">
        <v>12040</v>
      </c>
      <c r="D7" s="5">
        <f>IF(C7="",B7,C7)</f>
        <v/>
      </c>
      <c r="E7" s="4" t="inlineStr">
        <is>
          <t>Clear the manual rate to use the live rate.</t>
        </is>
      </c>
    </row>
    <row r="8">
      <c r="A8" s="4" t="inlineStr">
        <is>
          <t>KRW per 1 UZS</t>
        </is>
      </c>
      <c r="D8" s="7">
        <f>D6/D7</f>
        <v/>
      </c>
    </row>
    <row r="10">
      <c r="A10" s="3" t="inlineStr">
        <is>
          <t>Product cost</t>
        </is>
      </c>
      <c r="B10" s="3" t="inlineStr">
        <is>
          <t>Value</t>
        </is>
      </c>
      <c r="C10" s="3" t="inlineStr">
        <is>
          <t>Unit</t>
        </is>
      </c>
      <c r="D10" s="3" t="inlineStr"/>
      <c r="E10" s="3" t="inlineStr">
        <is>
          <t>Note</t>
        </is>
      </c>
    </row>
    <row r="11">
      <c r="A11" s="4" t="inlineStr">
        <is>
          <t>Cost source</t>
        </is>
      </c>
      <c r="B11" s="8" t="inlineStr">
        <is>
          <t>Batches</t>
        </is>
      </c>
      <c r="C11" s="4" t="inlineStr">
        <is>
          <t>Batches / Manual</t>
        </is>
      </c>
      <c r="E11" s="4" t="inlineStr">
        <is>
          <t>Batches = calculated from the payments on the Batches tab. Manual = use the manual cost below.</t>
        </is>
      </c>
    </row>
    <row r="12">
      <c r="A12" s="4" t="inlineStr">
        <is>
          <t>Batch to price</t>
        </is>
      </c>
      <c r="B12" s="8" t="inlineStr">
        <is>
          <t>B1</t>
        </is>
      </c>
      <c r="C12" s="4" t="inlineStr">
        <is>
          <t>Batch ID</t>
        </is>
      </c>
      <c r="E12" s="4" t="inlineStr">
        <is>
          <t>Must match a Batch ID in the summary on the Batches tab.</t>
        </is>
      </c>
    </row>
    <row r="13">
      <c r="A13" s="4" t="inlineStr">
        <is>
          <t>Units produced in this batch</t>
        </is>
      </c>
      <c r="B13" s="9">
        <f>VLOOKUP(B12,Batches!$J$4:$M$20,2,FALSE)</f>
        <v/>
      </c>
      <c r="C13" s="4" t="inlineStr">
        <is>
          <t>units</t>
        </is>
      </c>
    </row>
    <row r="14">
      <c r="A14" s="4" t="inlineStr">
        <is>
          <t>Factory cost per unit, from batch payments</t>
        </is>
      </c>
      <c r="B14" s="10">
        <f>VLOOKUP(B12,Batches!$J$4:$M$20,4,FALSE)</f>
        <v/>
      </c>
      <c r="C14" s="4" t="inlineStr">
        <is>
          <t>KRW</t>
        </is>
      </c>
    </row>
    <row r="15">
      <c r="A15" s="4" t="inlineStr">
        <is>
          <t>Manual factory cost per unit</t>
        </is>
      </c>
      <c r="B15" s="11" t="n"/>
      <c r="C15" s="4" t="inlineStr">
        <is>
          <t>KRW</t>
        </is>
      </c>
      <c r="E15" s="4" t="inlineStr">
        <is>
          <t>Used only when Cost source = Manual. Use it for what-if scenarios or a quote for the next batch.</t>
        </is>
      </c>
    </row>
    <row r="16">
      <c r="A16" s="4" t="inlineStr">
        <is>
          <t>Supplier payments include 10% Korean VAT</t>
        </is>
      </c>
      <c r="B16" s="12" t="inlineStr">
        <is>
          <t>No</t>
        </is>
      </c>
      <c r="C16" s="4" t="inlineStr">
        <is>
          <t>Yes / No</t>
        </is>
      </c>
      <c r="E16" s="4" t="inlineStr">
        <is>
          <t>Check the CNS Pharm tax invoice.</t>
        </is>
      </c>
    </row>
    <row r="17">
      <c r="A17" s="4" t="inlineStr">
        <is>
          <t>Korean purchase VAT can be recovered</t>
        </is>
      </c>
      <c r="B17" s="8" t="inlineStr">
        <is>
          <t>Yes</t>
        </is>
      </c>
      <c r="C17" s="4" t="inlineStr">
        <is>
          <t>Yes / No</t>
        </is>
      </c>
      <c r="E17" s="4" t="inlineStr">
        <is>
          <t>Yes if a VAT-registered Korean company bought the goods.</t>
        </is>
      </c>
    </row>
    <row r="18">
      <c r="A18" s="4" t="inlineStr">
        <is>
          <t>Factory cost per unit used</t>
        </is>
      </c>
      <c r="B18" s="13">
        <f>IF(B11="Manual",B15,B14)/IF(AND(B16="Yes",B17="Yes"),1+C49,1)</f>
        <v/>
      </c>
      <c r="C18" s="4" t="inlineStr">
        <is>
          <t>KRW</t>
        </is>
      </c>
      <c r="E18" s="4" t="inlineStr">
        <is>
          <t>Removes Korean VAT when it is included and recoverable.</t>
        </is>
      </c>
    </row>
    <row r="20">
      <c r="A20" s="3" t="inlineStr">
        <is>
          <t>Air cargo</t>
        </is>
      </c>
      <c r="B20" s="3" t="inlineStr">
        <is>
          <t>Value</t>
        </is>
      </c>
      <c r="C20" s="3" t="inlineStr">
        <is>
          <t>Unit</t>
        </is>
      </c>
      <c r="D20" s="3" t="inlineStr"/>
      <c r="E20" s="3" t="inlineStr">
        <is>
          <t>Note</t>
        </is>
      </c>
    </row>
    <row r="21">
      <c r="A21" s="4" t="inlineStr">
        <is>
          <t>Freight source</t>
        </is>
      </c>
      <c r="B21" s="8" t="inlineStr">
        <is>
          <t>Estimate</t>
        </is>
      </c>
      <c r="C21" s="4" t="inlineStr">
        <is>
          <t>Estimate / Actual / Manual</t>
        </is>
      </c>
      <c r="E21" s="4" t="inlineStr">
        <is>
          <t>Estimate = calculated below. Actual = from invoices on the Shipments tab. Manual = the manual figure below.</t>
        </is>
      </c>
    </row>
    <row r="22">
      <c r="A22" s="4" t="inlineStr">
        <is>
          <t>Freight rate</t>
        </is>
      </c>
      <c r="B22" s="14" t="n">
        <v>10</v>
      </c>
      <c r="C22" s="4" t="inlineStr">
        <is>
          <t>USD per kg</t>
        </is>
      </c>
    </row>
    <row r="23">
      <c r="A23" s="4" t="inlineStr">
        <is>
          <t>Units per carton</t>
        </is>
      </c>
      <c r="B23" s="15" t="n">
        <v>42</v>
      </c>
      <c r="C23" s="4" t="inlineStr">
        <is>
          <t>units</t>
        </is>
      </c>
    </row>
    <row r="24">
      <c r="A24" s="4" t="inlineStr">
        <is>
          <t>Carton weight</t>
        </is>
      </c>
      <c r="B24" s="16" t="n">
        <v>6.5</v>
      </c>
      <c r="C24" s="4" t="inlineStr">
        <is>
          <t>kg</t>
        </is>
      </c>
    </row>
    <row r="25">
      <c r="A25" s="4" t="inlineStr">
        <is>
          <t>Carton length</t>
        </is>
      </c>
      <c r="B25" s="17" t="n"/>
      <c r="C25" s="4" t="inlineStr">
        <is>
          <t>cm</t>
        </is>
      </c>
      <c r="E25" s="4" t="inlineStr">
        <is>
          <t>Airlines charge by volume when it is higher than actual weight. Add carton size to include this.</t>
        </is>
      </c>
    </row>
    <row r="26">
      <c r="A26" s="4" t="inlineStr">
        <is>
          <t>Carton width</t>
        </is>
      </c>
      <c r="B26" s="17" t="n"/>
      <c r="C26" s="4" t="inlineStr">
        <is>
          <t>cm</t>
        </is>
      </c>
    </row>
    <row r="27">
      <c r="A27" s="4" t="inlineStr">
        <is>
          <t>Carton height</t>
        </is>
      </c>
      <c r="B27" s="17" t="n"/>
      <c r="C27" s="4" t="inlineStr">
        <is>
          <t>cm</t>
        </is>
      </c>
    </row>
    <row r="28">
      <c r="A28" s="4" t="inlineStr">
        <is>
          <t>Volumetric divisor</t>
        </is>
      </c>
      <c r="B28" s="15" t="n">
        <v>6000</v>
      </c>
      <c r="C28" s="4" t="inlineStr">
        <is>
          <t>cm3 per kg</t>
        </is>
      </c>
      <c r="E28" s="4" t="inlineStr">
        <is>
          <t>6,000 is the usual air cargo figure. Confirm with your forwarder.</t>
        </is>
      </c>
    </row>
    <row r="29">
      <c r="A29" s="4" t="inlineStr">
        <is>
          <t>Fuel and other surcharges</t>
        </is>
      </c>
      <c r="B29" s="18" t="n">
        <v>0</v>
      </c>
      <c r="C29" s="4" t="inlineStr">
        <is>
          <t>% of freight</t>
        </is>
      </c>
      <c r="E29" s="4" t="inlineStr">
        <is>
          <t>Ask your forwarder for the surcharge on the quote.</t>
        </is>
      </c>
    </row>
    <row r="30">
      <c r="A30" s="4" t="inlineStr">
        <is>
          <t>Minimum charge per shipment</t>
        </is>
      </c>
      <c r="B30" s="14" t="n">
        <v>0</v>
      </c>
      <c r="C30" s="4" t="inlineStr">
        <is>
          <t>USD</t>
        </is>
      </c>
    </row>
    <row r="31">
      <c r="A31" s="4" t="inlineStr">
        <is>
          <t>Cargo insurance</t>
        </is>
      </c>
      <c r="B31" s="18" t="n">
        <v>0</v>
      </c>
      <c r="C31" s="4" t="inlineStr">
        <is>
          <t>% of goods value</t>
        </is>
      </c>
      <c r="E31" s="4" t="inlineStr">
        <is>
          <t>Often 0.3% to 0.5%. Enter 0 if not insured.</t>
        </is>
      </c>
    </row>
    <row r="32">
      <c r="A32" s="4" t="inlineStr">
        <is>
          <t>Units shipped (blank = all units produced)</t>
        </is>
      </c>
      <c r="B32" s="15" t="n"/>
      <c r="C32" s="4" t="inlineStr">
        <is>
          <t>units</t>
        </is>
      </c>
    </row>
    <row r="33">
      <c r="A33" s="4" t="inlineStr">
        <is>
          <t>Units shipped</t>
        </is>
      </c>
      <c r="B33" s="19">
        <f>IF(B32="",B13,B32)</f>
        <v/>
      </c>
      <c r="C33" s="4" t="inlineStr">
        <is>
          <t>units</t>
        </is>
      </c>
    </row>
    <row r="34">
      <c r="A34" s="4" t="inlineStr">
        <is>
          <t>Cartons</t>
        </is>
      </c>
      <c r="B34" s="19">
        <f>ROUNDUP(B33/B23,0)</f>
        <v/>
      </c>
      <c r="C34" s="4" t="inlineStr">
        <is>
          <t>cartons</t>
        </is>
      </c>
    </row>
    <row r="35">
      <c r="A35" s="4" t="inlineStr">
        <is>
          <t>Volumetric weight per carton</t>
        </is>
      </c>
      <c r="B35" s="20">
        <f>B25*B26*B27/B28</f>
        <v/>
      </c>
      <c r="C35" s="4" t="inlineStr">
        <is>
          <t>kg</t>
        </is>
      </c>
    </row>
    <row r="36">
      <c r="A36" s="4" t="inlineStr">
        <is>
          <t>Chargeable weight per carton</t>
        </is>
      </c>
      <c r="B36" s="20">
        <f>MAX(B24,B35)</f>
        <v/>
      </c>
      <c r="C36" s="4" t="inlineStr">
        <is>
          <t>kg</t>
        </is>
      </c>
      <c r="E36" s="4" t="inlineStr">
        <is>
          <t>The higher of actual and volumetric weight.</t>
        </is>
      </c>
    </row>
    <row r="37">
      <c r="A37" s="4" t="inlineStr">
        <is>
          <t>Total chargeable weight</t>
        </is>
      </c>
      <c r="B37" s="21">
        <f>B34*B36</f>
        <v/>
      </c>
      <c r="C37" s="4" t="inlineStr">
        <is>
          <t>kg</t>
        </is>
      </c>
    </row>
    <row r="38">
      <c r="A38" s="4" t="inlineStr">
        <is>
          <t>Freight estimate for the shipment</t>
        </is>
      </c>
      <c r="B38" s="22">
        <f>MAX(B30,B37*B22*(1+B29))</f>
        <v/>
      </c>
      <c r="C38" s="4" t="inlineStr">
        <is>
          <t>USD</t>
        </is>
      </c>
    </row>
    <row r="39">
      <c r="A39" s="4" t="inlineStr">
        <is>
          <t>Freight per unit, estimate</t>
        </is>
      </c>
      <c r="B39" s="23">
        <f>IF(B33=0,0,B38*Settings!$D$6/B33)</f>
        <v/>
      </c>
      <c r="C39" s="4" t="inlineStr">
        <is>
          <t>KRW</t>
        </is>
      </c>
    </row>
    <row r="40">
      <c r="A40" s="4" t="inlineStr">
        <is>
          <t>Freight per unit, actual</t>
        </is>
      </c>
      <c r="B40" s="10">
        <f>VLOOKUP(B12,Shipments!$J$4:$N$20,4,FALSE)</f>
        <v/>
      </c>
      <c r="C40" s="4" t="inlineStr">
        <is>
          <t>KRW</t>
        </is>
      </c>
      <c r="E40" s="4" t="inlineStr">
        <is>
          <t>From freight invoices logged on the Shipments tab.</t>
        </is>
      </c>
    </row>
    <row r="41">
      <c r="A41" s="4" t="inlineStr">
        <is>
          <t>Manual freight per unit</t>
        </is>
      </c>
      <c r="B41" s="11" t="n"/>
      <c r="C41" s="4" t="inlineStr">
        <is>
          <t>KRW</t>
        </is>
      </c>
      <c r="E41" s="4" t="inlineStr">
        <is>
          <t>Used only when Freight source = Manual.</t>
        </is>
      </c>
    </row>
    <row r="42">
      <c r="A42" s="4" t="inlineStr">
        <is>
          <t>Freight per unit used</t>
        </is>
      </c>
      <c r="B42" s="13">
        <f>IF(B21="Actual",B40,IF(B21="Manual",B41,B39))</f>
        <v/>
      </c>
      <c r="C42" s="4" t="inlineStr">
        <is>
          <t>KRW</t>
        </is>
      </c>
    </row>
    <row r="44">
      <c r="A44" s="3" t="inlineStr">
        <is>
          <t>Market settings</t>
        </is>
      </c>
      <c r="B44" s="3" t="inlineStr">
        <is>
          <t>UZ</t>
        </is>
      </c>
      <c r="C44" s="3" t="inlineStr">
        <is>
          <t>KR</t>
        </is>
      </c>
      <c r="D44" s="3" t="inlineStr"/>
      <c r="E44" s="3" t="inlineStr">
        <is>
          <t>Note</t>
        </is>
      </c>
    </row>
    <row r="45">
      <c r="A45" s="4" t="inlineStr">
        <is>
          <t>Country</t>
        </is>
      </c>
      <c r="B45" s="8" t="inlineStr">
        <is>
          <t>Uzbekistan</t>
        </is>
      </c>
      <c r="C45" s="8" t="inlineStr">
        <is>
          <t>Korea</t>
        </is>
      </c>
    </row>
    <row r="46">
      <c r="A46" s="4" t="inlineStr">
        <is>
          <t>Local currency</t>
        </is>
      </c>
      <c r="B46" s="8" t="inlineStr">
        <is>
          <t>UZS</t>
        </is>
      </c>
      <c r="C46" s="8" t="inlineStr">
        <is>
          <t>KRW</t>
        </is>
      </c>
    </row>
    <row r="47">
      <c r="A47" s="4" t="inlineStr">
        <is>
          <t>KRW per 1 unit of local currency</t>
        </is>
      </c>
      <c r="B47" s="7">
        <f>D8</f>
        <v/>
      </c>
      <c r="C47" s="24" t="n">
        <v>1</v>
      </c>
    </row>
    <row r="48">
      <c r="A48" s="4" t="inlineStr">
        <is>
          <t>Goods are imported from Korea</t>
        </is>
      </c>
      <c r="B48" s="8" t="inlineStr">
        <is>
          <t>Yes</t>
        </is>
      </c>
      <c r="C48" s="8" t="inlineStr">
        <is>
          <t>No</t>
        </is>
      </c>
      <c r="E48" s="4" t="inlineStr">
        <is>
          <t>Yes adds air freight, insurance, duty and import costs.</t>
        </is>
      </c>
    </row>
    <row r="49">
      <c r="A49" s="4" t="inlineStr">
        <is>
          <t>VAT rate</t>
        </is>
      </c>
      <c r="B49" s="25" t="n">
        <v>0.12</v>
      </c>
      <c r="C49" s="25" t="n">
        <v>0.1</v>
      </c>
    </row>
    <row r="50">
      <c r="A50" s="4" t="inlineStr">
        <is>
          <t>VAT registered</t>
        </is>
      </c>
      <c r="B50" s="12" t="inlineStr">
        <is>
          <t>Yes</t>
        </is>
      </c>
      <c r="C50" s="8" t="inlineStr">
        <is>
          <t>Yes</t>
        </is>
      </c>
      <c r="E50" s="4" t="inlineStr">
        <is>
          <t>Yes: you charge VAT on sales and recover import VAT. No: import VAT becomes a cost and turnover tax applies.</t>
        </is>
      </c>
    </row>
    <row r="51">
      <c r="A51" s="4" t="inlineStr">
        <is>
          <t>Turnover tax if not VAT registered</t>
        </is>
      </c>
      <c r="B51" s="18" t="n">
        <v>0.04</v>
      </c>
      <c r="C51" s="25" t="n">
        <v>0</v>
      </c>
      <c r="E51" s="4" t="inlineStr">
        <is>
          <t>% of sales before VAT. Confirm your tax regime with your accountant.</t>
        </is>
      </c>
    </row>
    <row r="52">
      <c r="A52" s="4" t="inlineStr">
        <is>
          <t>Customs duty</t>
        </is>
      </c>
      <c r="B52" s="18" t="n">
        <v>0</v>
      </c>
      <c r="C52" s="25" t="n">
        <v>0</v>
      </c>
      <c r="E52" s="4" t="inlineStr">
        <is>
          <t>% of goods + freight + insurance. Depends on the product's HS code; ask a customs broker.</t>
        </is>
      </c>
    </row>
    <row r="53">
      <c r="A53" s="4" t="inlineStr">
        <is>
          <t>Customs, broker and certification costs for this batch</t>
        </is>
      </c>
      <c r="B53" s="26" t="n">
        <v>0</v>
      </c>
      <c r="C53" s="11" t="n">
        <v>0</v>
      </c>
      <c r="E53" s="4" t="inlineStr">
        <is>
          <t>In local currency. One-off costs, spread over the units for this market.</t>
        </is>
      </c>
    </row>
    <row r="54">
      <c r="A54" s="4" t="inlineStr">
        <is>
          <t>Local delivery and storage per unit</t>
        </is>
      </c>
      <c r="B54" s="26" t="n">
        <v>0</v>
      </c>
      <c r="C54" s="11" t="n">
        <v>0</v>
      </c>
      <c r="E54" s="4" t="inlineStr">
        <is>
          <t>In local currency.</t>
        </is>
      </c>
    </row>
    <row r="55">
      <c r="A55" s="4" t="inlineStr">
        <is>
          <t>Units for this market (blank = all units)</t>
        </is>
      </c>
      <c r="B55" s="15" t="n"/>
      <c r="C55" s="15" t="n"/>
      <c r="E55" s="4" t="inlineStr">
        <is>
          <t>Leave blank to price as if every unit is sold in this market.</t>
        </is>
      </c>
    </row>
    <row r="56">
      <c r="A56" s="4" t="inlineStr">
        <is>
          <t>Units for this market</t>
        </is>
      </c>
      <c r="B56" s="19">
        <f>IF(B55="",IF(B48="Yes",$B$33,$B$13),B55)</f>
        <v/>
      </c>
      <c r="C56" s="19">
        <f>IF(C55="",IF(C48="Yes",$B$33,$B$13),C55)</f>
        <v/>
      </c>
    </row>
    <row r="58">
      <c r="A58" s="3" t="inlineStr">
        <is>
          <t>Channel settings</t>
        </is>
      </c>
      <c r="B58" s="3" t="inlineStr">
        <is>
          <t>UZ B2B</t>
        </is>
      </c>
      <c r="C58" s="3" t="inlineStr">
        <is>
          <t>UZ B2C</t>
        </is>
      </c>
      <c r="D58" s="3" t="inlineStr">
        <is>
          <t>KR B2B</t>
        </is>
      </c>
      <c r="E58" s="3" t="inlineStr">
        <is>
          <t>KR B2C</t>
        </is>
      </c>
      <c r="F58" s="3" t="inlineStr">
        <is>
          <t>Note</t>
        </is>
      </c>
    </row>
    <row r="59">
      <c r="A59" s="4" t="inlineStr">
        <is>
          <t>Market</t>
        </is>
      </c>
      <c r="B59" s="8" t="inlineStr">
        <is>
          <t>UZ</t>
        </is>
      </c>
      <c r="C59" s="8" t="inlineStr">
        <is>
          <t>UZ</t>
        </is>
      </c>
      <c r="D59" s="8" t="inlineStr">
        <is>
          <t>KR</t>
        </is>
      </c>
      <c r="E59" s="8" t="inlineStr">
        <is>
          <t>KR</t>
        </is>
      </c>
      <c r="F59" s="4" t="inlineStr">
        <is>
          <t>Must match UZ or KR in the market table.</t>
        </is>
      </c>
    </row>
    <row r="60">
      <c r="A60" s="4" t="inlineStr">
        <is>
          <t>Target margin</t>
        </is>
      </c>
      <c r="B60" s="25" t="n">
        <v>0.35</v>
      </c>
      <c r="C60" s="25" t="n">
        <v>0.6</v>
      </c>
      <c r="D60" s="25" t="n">
        <v>0.3</v>
      </c>
      <c r="E60" s="25" t="n">
        <v>0.5</v>
      </c>
      <c r="F60" s="4" t="inlineStr">
        <is>
          <t>Profit as % of price before VAT, after every cost. Ignored when a price override is set.</t>
        </is>
      </c>
    </row>
    <row r="61">
      <c r="A61" s="4" t="inlineStr">
        <is>
          <t>Marketplace commission</t>
        </is>
      </c>
      <c r="B61" s="25" t="n">
        <v>0</v>
      </c>
      <c r="C61" s="18" t="n">
        <v>0</v>
      </c>
      <c r="D61" s="25" t="n">
        <v>0</v>
      </c>
      <c r="E61" s="18" t="n">
        <v>0.11</v>
      </c>
      <c r="F61" s="4" t="inlineStr">
        <is>
          <t>% of price incl. VAT. Enter the rate for the platform you use (Uzum, Coupang, Naver, etc.).</t>
        </is>
      </c>
    </row>
    <row r="62">
      <c r="A62" s="4" t="inlineStr">
        <is>
          <t>Payment processing fee</t>
        </is>
      </c>
      <c r="B62" s="25" t="n">
        <v>0</v>
      </c>
      <c r="C62" s="25" t="n">
        <v>0</v>
      </c>
      <c r="D62" s="25" t="n">
        <v>0</v>
      </c>
      <c r="E62" s="25" t="n">
        <v>0</v>
      </c>
      <c r="F62" s="4" t="inlineStr">
        <is>
          <t>% of price incl. VAT.</t>
        </is>
      </c>
    </row>
    <row r="63">
      <c r="A63" s="4" t="inlineStr">
        <is>
          <t>Shipping and packaging to customer per unit</t>
        </is>
      </c>
      <c r="B63" s="11" t="n">
        <v>0</v>
      </c>
      <c r="C63" s="26" t="n">
        <v>0</v>
      </c>
      <c r="D63" s="11" t="n">
        <v>0</v>
      </c>
      <c r="E63" s="26" t="n">
        <v>3000</v>
      </c>
      <c r="F63" s="4" t="inlineStr">
        <is>
          <t>In local currency.</t>
        </is>
      </c>
    </row>
    <row r="64">
      <c r="A64" s="4" t="inlineStr">
        <is>
          <t>Price override, incl. VAT (blank = use target margin)</t>
        </is>
      </c>
      <c r="B64" s="6" t="n"/>
      <c r="C64" s="6" t="n"/>
      <c r="D64" s="6" t="n"/>
      <c r="E64" s="6" t="n"/>
      <c r="F64" s="4" t="inlineStr">
        <is>
          <t>In local currency. Enter a real selling price to see the margin it gives.</t>
        </is>
      </c>
    </row>
    <row r="65">
      <c r="A65" s="4" t="inlineStr">
        <is>
          <t>Reseller margin (B2B only)</t>
        </is>
      </c>
      <c r="B65" s="25" t="n">
        <v>0.4</v>
      </c>
      <c r="C65" s="25" t="n"/>
      <c r="D65" s="25" t="n">
        <v>0.45</v>
      </c>
      <c r="E65" s="25" t="n"/>
      <c r="F65" s="4" t="inlineStr">
        <is>
          <t>The margin your distributor or retailer needs. Used for the recommended shelf price.</t>
        </is>
      </c>
    </row>
  </sheetData>
  <dataValidations count="6">
    <dataValidation sqref="B11" showDropDown="0" showInputMessage="0" showErrorMessage="0" allowBlank="1" type="list">
      <formula1>"Batches,Manual"</formula1>
    </dataValidation>
    <dataValidation sqref="B16" showDropDown="0" showInputMessage="0" showErrorMessage="0" allowBlank="1" type="list">
      <formula1>"Yes,No"</formula1>
    </dataValidation>
    <dataValidation sqref="B17" showDropDown="0" showInputMessage="0" showErrorMessage="0" allowBlank="1" type="list">
      <formula1>"Yes,No"</formula1>
    </dataValidation>
    <dataValidation sqref="B21" showDropDown="0" showInputMessage="0" showErrorMessage="0" allowBlank="1" type="list">
      <formula1>"Estimate,Actual,Manual"</formula1>
    </dataValidation>
    <dataValidation sqref="B48:C48" showDropDown="0" showInputMessage="0" showErrorMessage="0" allowBlank="1" type="list">
      <formula1>"Yes,No"</formula1>
    </dataValidation>
    <dataValidation sqref="B50:C5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Price Calculator (per unit)</t>
        </is>
      </c>
    </row>
    <row r="2">
      <c r="A2" s="2" t="inlineStr">
        <is>
          <t>All amounts are KRW per unit unless stated. Inputs live on the Settings tab.</t>
        </is>
      </c>
    </row>
    <row r="3">
      <c r="A3" s="2" t="inlineStr">
        <is>
          <t>Blue text = input you can change. Yellow fill = replace with your real figure. Black = formula. Green = link to another tab.</t>
        </is>
      </c>
    </row>
    <row r="4">
      <c r="A4" s="3" t="inlineStr">
        <is>
          <t>Channel</t>
        </is>
      </c>
      <c r="B4" s="3">
        <f>Settings!B58</f>
        <v/>
      </c>
      <c r="C4" s="3">
        <f>Settings!C58</f>
        <v/>
      </c>
      <c r="D4" s="3">
        <f>Settings!D58</f>
        <v/>
      </c>
      <c r="E4" s="3">
        <f>Settings!E58</f>
        <v/>
      </c>
    </row>
    <row r="5">
      <c r="A5" s="4" t="inlineStr">
        <is>
          <t>Market</t>
        </is>
      </c>
      <c r="B5" s="27">
        <f>Settings!B59</f>
        <v/>
      </c>
      <c r="C5" s="27">
        <f>Settings!C59</f>
        <v/>
      </c>
      <c r="D5" s="27">
        <f>Settings!D59</f>
        <v/>
      </c>
      <c r="E5" s="27">
        <f>Settings!E59</f>
        <v/>
      </c>
    </row>
    <row r="6">
      <c r="A6" s="4" t="inlineStr">
        <is>
          <t>Market column (helper)</t>
        </is>
      </c>
      <c r="B6" s="28">
        <f>MATCH(B5,Settings!$B$44:$C$44,0)</f>
        <v/>
      </c>
      <c r="C6" s="28">
        <f>MATCH(C5,Settings!$B$44:$C$44,0)</f>
        <v/>
      </c>
      <c r="D6" s="28">
        <f>MATCH(D5,Settings!$B$44:$C$44,0)</f>
        <v/>
      </c>
      <c r="E6" s="28">
        <f>MATCH(E5,Settings!$B$44:$C$44,0)</f>
        <v/>
      </c>
    </row>
    <row r="7">
      <c r="A7" s="4" t="inlineStr">
        <is>
          <t>Local currency</t>
        </is>
      </c>
      <c r="B7" s="4">
        <f>INDEX(Settings!$B$46:$C$46,B6)</f>
        <v/>
      </c>
      <c r="C7" s="4">
        <f>INDEX(Settings!$B$46:$C$46,C6)</f>
        <v/>
      </c>
      <c r="D7" s="4">
        <f>INDEX(Settings!$B$46:$C$46,D6)</f>
        <v/>
      </c>
      <c r="E7" s="4">
        <f>INDEX(Settings!$B$46:$C$46,E6)</f>
        <v/>
      </c>
    </row>
    <row r="8">
      <c r="A8" s="4" t="inlineStr">
        <is>
          <t>KRW per 1 unit of local currency</t>
        </is>
      </c>
      <c r="B8" s="7">
        <f>INDEX(Settings!$B$47:$C$47,B6)</f>
        <v/>
      </c>
      <c r="C8" s="7">
        <f>INDEX(Settings!$B$47:$C$47,C6)</f>
        <v/>
      </c>
      <c r="D8" s="7">
        <f>INDEX(Settings!$B$47:$C$47,D6)</f>
        <v/>
      </c>
      <c r="E8" s="7">
        <f>INDEX(Settings!$B$47:$C$47,E6)</f>
        <v/>
      </c>
    </row>
    <row r="9">
      <c r="A9" s="4" t="inlineStr">
        <is>
          <t>Imported from Korea</t>
        </is>
      </c>
      <c r="B9" s="4">
        <f>INDEX(Settings!$B$48:$C$48,B6)</f>
        <v/>
      </c>
      <c r="C9" s="4">
        <f>INDEX(Settings!$B$48:$C$48,C6)</f>
        <v/>
      </c>
      <c r="D9" s="4">
        <f>INDEX(Settings!$B$48:$C$48,D6)</f>
        <v/>
      </c>
      <c r="E9" s="4">
        <f>INDEX(Settings!$B$48:$C$48,E6)</f>
        <v/>
      </c>
    </row>
    <row r="11">
      <c r="A11" s="29" t="inlineStr">
        <is>
          <t>Landed cost</t>
        </is>
      </c>
      <c r="B11" s="30" t="n"/>
      <c r="C11" s="30" t="n"/>
      <c r="D11" s="30" t="n"/>
      <c r="E11" s="30" t="n"/>
    </row>
    <row r="12">
      <c r="A12" s="4" t="inlineStr">
        <is>
          <t>Factory cost</t>
        </is>
      </c>
      <c r="B12" s="10">
        <f>Settings!$B$18</f>
        <v/>
      </c>
      <c r="C12" s="10">
        <f>Settings!$B$18</f>
        <v/>
      </c>
      <c r="D12" s="10">
        <f>Settings!$B$18</f>
        <v/>
      </c>
      <c r="E12" s="10">
        <f>Settings!$B$18</f>
        <v/>
      </c>
    </row>
    <row r="13">
      <c r="A13" s="4" t="inlineStr">
        <is>
          <t>Air freight</t>
        </is>
      </c>
      <c r="B13" s="23">
        <f>IF(B9="Yes",Settings!$B$42,0)</f>
        <v/>
      </c>
      <c r="C13" s="23">
        <f>IF(C9="Yes",Settings!$B$42,0)</f>
        <v/>
      </c>
      <c r="D13" s="23">
        <f>IF(D9="Yes",Settings!$B$42,0)</f>
        <v/>
      </c>
      <c r="E13" s="23">
        <f>IF(E9="Yes",Settings!$B$42,0)</f>
        <v/>
      </c>
    </row>
    <row r="14">
      <c r="A14" s="4" t="inlineStr">
        <is>
          <t>Cargo insurance</t>
        </is>
      </c>
      <c r="B14" s="23">
        <f>IF(B9="Yes",B12*Settings!$B$31,0)</f>
        <v/>
      </c>
      <c r="C14" s="23">
        <f>IF(C9="Yes",C12*Settings!$B$31,0)</f>
        <v/>
      </c>
      <c r="D14" s="23">
        <f>IF(D9="Yes",D12*Settings!$B$31,0)</f>
        <v/>
      </c>
      <c r="E14" s="23">
        <f>IF(E9="Yes",E12*Settings!$B$31,0)</f>
        <v/>
      </c>
    </row>
    <row r="15">
      <c r="A15" s="4" t="inlineStr">
        <is>
          <t>Customs value (goods + freight + insurance)</t>
        </is>
      </c>
      <c r="B15" s="23">
        <f>B12+B13+B14</f>
        <v/>
      </c>
      <c r="C15" s="23">
        <f>C12+C13+C14</f>
        <v/>
      </c>
      <c r="D15" s="23">
        <f>D12+D13+D14</f>
        <v/>
      </c>
      <c r="E15" s="23">
        <f>E12+E13+E14</f>
        <v/>
      </c>
    </row>
    <row r="16">
      <c r="A16" s="4" t="inlineStr">
        <is>
          <t>Customs duty</t>
        </is>
      </c>
      <c r="B16" s="23">
        <f>IF(B9="Yes",B15*INDEX(Settings!$B$52:$C$52,B6),0)</f>
        <v/>
      </c>
      <c r="C16" s="23">
        <f>IF(C9="Yes",C15*INDEX(Settings!$B$52:$C$52,C6),0)</f>
        <v/>
      </c>
      <c r="D16" s="23">
        <f>IF(D9="Yes",D15*INDEX(Settings!$B$52:$C$52,D6),0)</f>
        <v/>
      </c>
      <c r="E16" s="23">
        <f>IF(E9="Yes",E15*INDEX(Settings!$B$52:$C$52,E6),0)</f>
        <v/>
      </c>
    </row>
    <row r="17">
      <c r="A17" s="4" t="inlineStr">
        <is>
          <t>Import VAT not recovered</t>
        </is>
      </c>
      <c r="B17" s="23">
        <f>IF(AND(B9="Yes",INDEX(Settings!$B$50:$C$50,B6)="No"),(B15+B16)*INDEX(Settings!$B$49:$C$49,B6),0)</f>
        <v/>
      </c>
      <c r="C17" s="23">
        <f>IF(AND(C9="Yes",INDEX(Settings!$B$50:$C$50,C6)="No"),(C15+C16)*INDEX(Settings!$B$49:$C$49,C6),0)</f>
        <v/>
      </c>
      <c r="D17" s="23">
        <f>IF(AND(D9="Yes",INDEX(Settings!$B$50:$C$50,D6)="No"),(D15+D16)*INDEX(Settings!$B$49:$C$49,D6),0)</f>
        <v/>
      </c>
      <c r="E17" s="23">
        <f>IF(AND(E9="Yes",INDEX(Settings!$B$50:$C$50,E6)="No"),(E15+E16)*INDEX(Settings!$B$49:$C$49,E6),0)</f>
        <v/>
      </c>
    </row>
    <row r="18">
      <c r="A18" s="4" t="inlineStr">
        <is>
          <t>Customs, broker and certification</t>
        </is>
      </c>
      <c r="B18" s="23">
        <f>IF(INDEX(Settings!$B$56:$C$56,B6)=0,0,INDEX(Settings!$B$53:$C$53,B6)*B8/INDEX(Settings!$B$56:$C$56,B6))</f>
        <v/>
      </c>
      <c r="C18" s="23">
        <f>IF(INDEX(Settings!$B$56:$C$56,C6)=0,0,INDEX(Settings!$B$53:$C$53,C6)*C8/INDEX(Settings!$B$56:$C$56,C6))</f>
        <v/>
      </c>
      <c r="D18" s="23">
        <f>IF(INDEX(Settings!$B$56:$C$56,D6)=0,0,INDEX(Settings!$B$53:$C$53,D6)*D8/INDEX(Settings!$B$56:$C$56,D6))</f>
        <v/>
      </c>
      <c r="E18" s="23">
        <f>IF(INDEX(Settings!$B$56:$C$56,E6)=0,0,INDEX(Settings!$B$53:$C$53,E6)*E8/INDEX(Settings!$B$56:$C$56,E6))</f>
        <v/>
      </c>
    </row>
    <row r="19">
      <c r="A19" s="4" t="inlineStr">
        <is>
          <t>Local delivery and storage</t>
        </is>
      </c>
      <c r="B19" s="23">
        <f>INDEX(Settings!$B$54:$C$54,B6)*B8</f>
        <v/>
      </c>
      <c r="C19" s="23">
        <f>INDEX(Settings!$B$54:$C$54,C6)*C8</f>
        <v/>
      </c>
      <c r="D19" s="23">
        <f>INDEX(Settings!$B$54:$C$54,D6)*D8</f>
        <v/>
      </c>
      <c r="E19" s="23">
        <f>INDEX(Settings!$B$54:$C$54,E6)*E8</f>
        <v/>
      </c>
    </row>
    <row r="20">
      <c r="A20" s="31" t="inlineStr">
        <is>
          <t>Landed cost</t>
        </is>
      </c>
      <c r="B20" s="32">
        <f>B15+B16+B17+B18+B19</f>
        <v/>
      </c>
      <c r="C20" s="32">
        <f>C15+C16+C17+C18+C19</f>
        <v/>
      </c>
      <c r="D20" s="32">
        <f>D15+D16+D17+D18+D19</f>
        <v/>
      </c>
      <c r="E20" s="32">
        <f>E15+E16+E17+E18+E19</f>
        <v/>
      </c>
    </row>
    <row r="22">
      <c r="A22" s="29" t="inlineStr">
        <is>
          <t>Sales taxes and channel costs</t>
        </is>
      </c>
      <c r="B22" s="30" t="n"/>
      <c r="C22" s="30" t="n"/>
      <c r="D22" s="30" t="n"/>
      <c r="E22" s="30" t="n"/>
    </row>
    <row r="23">
      <c r="A23" s="4" t="inlineStr">
        <is>
          <t>VAT charged on sales</t>
        </is>
      </c>
      <c r="B23" s="33">
        <f>IF(INDEX(Settings!$B$50:$C$50,B6)="Yes",INDEX(Settings!$B$49:$C$49,B6),0)</f>
        <v/>
      </c>
      <c r="C23" s="33">
        <f>IF(INDEX(Settings!$B$50:$C$50,C6)="Yes",INDEX(Settings!$B$49:$C$49,C6),0)</f>
        <v/>
      </c>
      <c r="D23" s="33">
        <f>IF(INDEX(Settings!$B$50:$C$50,D6)="Yes",INDEX(Settings!$B$49:$C$49,D6),0)</f>
        <v/>
      </c>
      <c r="E23" s="33">
        <f>IF(INDEX(Settings!$B$50:$C$50,E6)="Yes",INDEX(Settings!$B$49:$C$49,E6),0)</f>
        <v/>
      </c>
    </row>
    <row r="24">
      <c r="A24" s="4" t="inlineStr">
        <is>
          <t>Turnover tax (% of price before VAT)</t>
        </is>
      </c>
      <c r="B24" s="33">
        <f>IF(INDEX(Settings!$B$50:$C$50,B6)="Yes",0,INDEX(Settings!$B$51:$C$51,B6))</f>
        <v/>
      </c>
      <c r="C24" s="33">
        <f>IF(INDEX(Settings!$B$50:$C$50,C6)="Yes",0,INDEX(Settings!$B$51:$C$51,C6))</f>
        <v/>
      </c>
      <c r="D24" s="33">
        <f>IF(INDEX(Settings!$B$50:$C$50,D6)="Yes",0,INDEX(Settings!$B$51:$C$51,D6))</f>
        <v/>
      </c>
      <c r="E24" s="33">
        <f>IF(INDEX(Settings!$B$50:$C$50,E6)="Yes",0,INDEX(Settings!$B$51:$C$51,E6))</f>
        <v/>
      </c>
    </row>
    <row r="25">
      <c r="A25" s="4" t="inlineStr">
        <is>
          <t>Marketplace and payment fees (% of price incl. VAT)</t>
        </is>
      </c>
      <c r="B25" s="34">
        <f>Settings!B61+Settings!B62</f>
        <v/>
      </c>
      <c r="C25" s="34">
        <f>Settings!C61+Settings!C62</f>
        <v/>
      </c>
      <c r="D25" s="34">
        <f>Settings!D61+Settings!D62</f>
        <v/>
      </c>
      <c r="E25" s="34">
        <f>Settings!E61+Settings!E62</f>
        <v/>
      </c>
    </row>
    <row r="26">
      <c r="A26" s="4" t="inlineStr">
        <is>
          <t>Shipping and packaging to customer</t>
        </is>
      </c>
      <c r="B26" s="23">
        <f>Settings!B63*B8</f>
        <v/>
      </c>
      <c r="C26" s="23">
        <f>Settings!C63*C8</f>
        <v/>
      </c>
      <c r="D26" s="23">
        <f>Settings!D63*D8</f>
        <v/>
      </c>
      <c r="E26" s="23">
        <f>Settings!E63*E8</f>
        <v/>
      </c>
    </row>
    <row r="27">
      <c r="A27" s="4" t="inlineStr">
        <is>
          <t>Target margin</t>
        </is>
      </c>
      <c r="B27" s="34">
        <f>Settings!B60</f>
        <v/>
      </c>
      <c r="C27" s="34">
        <f>Settings!C60</f>
        <v/>
      </c>
      <c r="D27" s="34">
        <f>Settings!D60</f>
        <v/>
      </c>
      <c r="E27" s="34">
        <f>Settings!E60</f>
        <v/>
      </c>
    </row>
    <row r="29">
      <c r="A29" s="29" t="inlineStr">
        <is>
          <t>Price</t>
        </is>
      </c>
      <c r="B29" s="30" t="n"/>
      <c r="C29" s="30" t="n"/>
      <c r="D29" s="30" t="n"/>
      <c r="E29" s="30" t="n"/>
    </row>
    <row r="30">
      <c r="A30" s="4" t="inlineStr">
        <is>
          <t>Price divisor (helper)</t>
        </is>
      </c>
      <c r="B30" s="35">
        <f>1-B25*(1+B23)-B24-B27</f>
        <v/>
      </c>
      <c r="C30" s="35">
        <f>1-C25*(1+C23)-C24-C27</f>
        <v/>
      </c>
      <c r="D30" s="35">
        <f>1-D25*(1+D23)-D24-D27</f>
        <v/>
      </c>
      <c r="E30" s="35">
        <f>1-E25*(1+E23)-E24-E27</f>
        <v/>
      </c>
    </row>
    <row r="31">
      <c r="A31" s="4" t="inlineStr">
        <is>
          <t>Price from target margin, before VAT</t>
        </is>
      </c>
      <c r="B31" s="23">
        <f>IF(B30&lt;=0,NA(),(B20+B26)/B30)</f>
        <v/>
      </c>
      <c r="C31" s="23">
        <f>IF(C30&lt;=0,NA(),(C20+C26)/C30)</f>
        <v/>
      </c>
      <c r="D31" s="23">
        <f>IF(D30&lt;=0,NA(),(D20+D26)/D30)</f>
        <v/>
      </c>
      <c r="E31" s="23">
        <f>IF(E30&lt;=0,NA(),(E20+E26)/E30)</f>
        <v/>
      </c>
    </row>
    <row r="32">
      <c r="A32" s="4" t="inlineStr">
        <is>
          <t>Price override, incl. VAT (local currency)</t>
        </is>
      </c>
      <c r="B32" s="36">
        <f>IF(Settings!B64="","",Settings!B64)</f>
        <v/>
      </c>
      <c r="C32" s="36">
        <f>IF(Settings!C64="","",Settings!C64)</f>
        <v/>
      </c>
      <c r="D32" s="36">
        <f>IF(Settings!D64="","",Settings!D64)</f>
        <v/>
      </c>
      <c r="E32" s="36">
        <f>IF(Settings!E64="","",Settings!E64)</f>
        <v/>
      </c>
    </row>
    <row r="33">
      <c r="A33" s="31" t="inlineStr">
        <is>
          <t>Price used, before VAT</t>
        </is>
      </c>
      <c r="B33" s="32">
        <f>IF(B32="",B31,B32*B8/(1+B23))</f>
        <v/>
      </c>
      <c r="C33" s="32">
        <f>IF(C32="",C31,C32*C8/(1+C23))</f>
        <v/>
      </c>
      <c r="D33" s="32">
        <f>IF(D32="",D31,D32*D8/(1+D23))</f>
        <v/>
      </c>
      <c r="E33" s="32">
        <f>IF(E32="",E31,E32*E8/(1+E23))</f>
        <v/>
      </c>
    </row>
    <row r="34">
      <c r="A34" s="4" t="inlineStr">
        <is>
          <t>VAT</t>
        </is>
      </c>
      <c r="B34" s="23">
        <f>B33*B23</f>
        <v/>
      </c>
      <c r="C34" s="23">
        <f>C33*C23</f>
        <v/>
      </c>
      <c r="D34" s="23">
        <f>D33*D23</f>
        <v/>
      </c>
      <c r="E34" s="23">
        <f>E33*E23</f>
        <v/>
      </c>
    </row>
    <row r="35">
      <c r="A35" s="31" t="inlineStr">
        <is>
          <t>Customer price incl. VAT</t>
        </is>
      </c>
      <c r="B35" s="32">
        <f>B33+B34</f>
        <v/>
      </c>
      <c r="C35" s="32">
        <f>C33+C34</f>
        <v/>
      </c>
      <c r="D35" s="32">
        <f>D33+D34</f>
        <v/>
      </c>
      <c r="E35" s="32">
        <f>E33+E34</f>
        <v/>
      </c>
    </row>
    <row r="37">
      <c r="A37" s="29" t="inlineStr">
        <is>
          <t>Profit</t>
        </is>
      </c>
      <c r="B37" s="30" t="n"/>
      <c r="C37" s="30" t="n"/>
      <c r="D37" s="30" t="n"/>
      <c r="E37" s="30" t="n"/>
    </row>
    <row r="38">
      <c r="A38" s="4" t="inlineStr">
        <is>
          <t>Marketplace and payment fees</t>
        </is>
      </c>
      <c r="B38" s="23">
        <f>B35*B25</f>
        <v/>
      </c>
      <c r="C38" s="23">
        <f>C35*C25</f>
        <v/>
      </c>
      <c r="D38" s="23">
        <f>D35*D25</f>
        <v/>
      </c>
      <c r="E38" s="23">
        <f>E35*E25</f>
        <v/>
      </c>
    </row>
    <row r="39">
      <c r="A39" s="4" t="inlineStr">
        <is>
          <t>Turnover tax</t>
        </is>
      </c>
      <c r="B39" s="23">
        <f>B33*B24</f>
        <v/>
      </c>
      <c r="C39" s="23">
        <f>C33*C24</f>
        <v/>
      </c>
      <c r="D39" s="23">
        <f>D33*D24</f>
        <v/>
      </c>
      <c r="E39" s="23">
        <f>E33*E24</f>
        <v/>
      </c>
    </row>
    <row r="40">
      <c r="A40" s="4" t="inlineStr">
        <is>
          <t>Shipping and packaging</t>
        </is>
      </c>
      <c r="B40" s="23">
        <f>B26</f>
        <v/>
      </c>
      <c r="C40" s="23">
        <f>C26</f>
        <v/>
      </c>
      <c r="D40" s="23">
        <f>D26</f>
        <v/>
      </c>
      <c r="E40" s="23">
        <f>E26</f>
        <v/>
      </c>
    </row>
    <row r="41">
      <c r="A41" s="4" t="inlineStr">
        <is>
          <t>Landed cost</t>
        </is>
      </c>
      <c r="B41" s="23">
        <f>B20</f>
        <v/>
      </c>
      <c r="C41" s="23">
        <f>C20</f>
        <v/>
      </c>
      <c r="D41" s="23">
        <f>D20</f>
        <v/>
      </c>
      <c r="E41" s="23">
        <f>E20</f>
        <v/>
      </c>
    </row>
    <row r="42">
      <c r="A42" s="31" t="inlineStr">
        <is>
          <t>Profit per unit</t>
        </is>
      </c>
      <c r="B42" s="32">
        <f>B33-B38-B39-B40-B41</f>
        <v/>
      </c>
      <c r="C42" s="32">
        <f>C33-C38-C39-C40-C41</f>
        <v/>
      </c>
      <c r="D42" s="32">
        <f>D33-D38-D39-D40-D41</f>
        <v/>
      </c>
      <c r="E42" s="32">
        <f>E33-E38-E39-E40-E41</f>
        <v/>
      </c>
    </row>
    <row r="43">
      <c r="A43" s="31" t="inlineStr">
        <is>
          <t>Margin (% of price before VAT)</t>
        </is>
      </c>
      <c r="B43" s="37">
        <f>IF(B33=0,0,B42/B33)</f>
        <v/>
      </c>
      <c r="C43" s="37">
        <f>IF(C33=0,0,C42/C33)</f>
        <v/>
      </c>
      <c r="D43" s="37">
        <f>IF(D33=0,0,D42/D33)</f>
        <v/>
      </c>
      <c r="E43" s="37">
        <f>IF(E33=0,0,E42/E33)</f>
        <v/>
      </c>
    </row>
    <row r="44">
      <c r="A44" s="4" t="inlineStr">
        <is>
          <t>Markup on landed cost</t>
        </is>
      </c>
      <c r="B44" s="33">
        <f>IF(B20=0,0,B42/B20)</f>
        <v/>
      </c>
      <c r="C44" s="33">
        <f>IF(C20=0,0,C42/C20)</f>
        <v/>
      </c>
      <c r="D44" s="33">
        <f>IF(D20=0,0,D42/D20)</f>
        <v/>
      </c>
      <c r="E44" s="33">
        <f>IF(E20=0,0,E42/E20)</f>
        <v/>
      </c>
    </row>
    <row r="46">
      <c r="A46" s="29" t="inlineStr">
        <is>
          <t>Prices in other currencies</t>
        </is>
      </c>
      <c r="B46" s="30" t="n"/>
      <c r="C46" s="30" t="n"/>
      <c r="D46" s="30" t="n"/>
      <c r="E46" s="30" t="n"/>
    </row>
    <row r="47">
      <c r="A47" s="4" t="inlineStr">
        <is>
          <t>Customer price incl. VAT (local currency)</t>
        </is>
      </c>
      <c r="B47" s="23">
        <f>B35/B8</f>
        <v/>
      </c>
      <c r="C47" s="23">
        <f>C35/C8</f>
        <v/>
      </c>
      <c r="D47" s="23">
        <f>D35/D8</f>
        <v/>
      </c>
      <c r="E47" s="23">
        <f>E35/E8</f>
        <v/>
      </c>
    </row>
    <row r="48">
      <c r="A48" s="4" t="inlineStr">
        <is>
          <t>Price before VAT (local currency)</t>
        </is>
      </c>
      <c r="B48" s="23">
        <f>B33/B8</f>
        <v/>
      </c>
      <c r="C48" s="23">
        <f>C33/C8</f>
        <v/>
      </c>
      <c r="D48" s="23">
        <f>D33/D8</f>
        <v/>
      </c>
      <c r="E48" s="23">
        <f>E33/E8</f>
        <v/>
      </c>
    </row>
    <row r="49">
      <c r="A49" s="4" t="inlineStr">
        <is>
          <t>Customer price incl. VAT (USD)</t>
        </is>
      </c>
      <c r="B49" s="22">
        <f>B35/Settings!$D$6</f>
        <v/>
      </c>
      <c r="C49" s="22">
        <f>C35/Settings!$D$6</f>
        <v/>
      </c>
      <c r="D49" s="22">
        <f>D35/Settings!$D$6</f>
        <v/>
      </c>
      <c r="E49" s="22">
        <f>E35/Settings!$D$6</f>
        <v/>
      </c>
    </row>
    <row r="50">
      <c r="A50" s="4" t="inlineStr">
        <is>
          <t>Profit per unit (USD)</t>
        </is>
      </c>
      <c r="B50" s="22">
        <f>B42/Settings!$D$6</f>
        <v/>
      </c>
      <c r="C50" s="22">
        <f>C42/Settings!$D$6</f>
        <v/>
      </c>
      <c r="D50" s="22">
        <f>D42/Settings!$D$6</f>
        <v/>
      </c>
      <c r="E50" s="22">
        <f>E42/Settings!$D$6</f>
        <v/>
      </c>
    </row>
    <row r="51">
      <c r="A51" s="4" t="inlineStr">
        <is>
          <t>Profit per unit (local currency)</t>
        </is>
      </c>
      <c r="B51" s="23">
        <f>B42/B8</f>
        <v/>
      </c>
      <c r="C51" s="23">
        <f>C42/C8</f>
        <v/>
      </c>
      <c r="D51" s="23">
        <f>D42/D8</f>
        <v/>
      </c>
      <c r="E51" s="23">
        <f>E42/E8</f>
        <v/>
      </c>
    </row>
    <row r="53">
      <c r="A53" s="29" t="inlineStr">
        <is>
          <t>Recommended shelf price for resellers (B2B channels)</t>
        </is>
      </c>
      <c r="B53" s="30" t="n"/>
      <c r="C53" s="30" t="n"/>
      <c r="D53" s="30" t="n"/>
      <c r="E53" s="30" t="n"/>
    </row>
    <row r="54">
      <c r="A54" s="4" t="inlineStr">
        <is>
          <t>Reseller margin</t>
        </is>
      </c>
      <c r="B54" s="34">
        <f>IF(Settings!B65="","",Settings!B65)</f>
        <v/>
      </c>
      <c r="C54" s="34">
        <f>IF(Settings!C65="","",Settings!C65)</f>
        <v/>
      </c>
      <c r="D54" s="34">
        <f>IF(Settings!D65="","",Settings!D65)</f>
        <v/>
      </c>
      <c r="E54" s="34">
        <f>IF(Settings!E65="","",Settings!E65)</f>
        <v/>
      </c>
    </row>
    <row r="55">
      <c r="A55" s="4" t="inlineStr">
        <is>
          <t>Recommended shelf price incl. VAT (local currency)</t>
        </is>
      </c>
      <c r="B55" s="23">
        <f>IF(B54="","",B48/(1-B54)*(1+B23))</f>
        <v/>
      </c>
      <c r="C55" s="23">
        <f>IF(C54="","",C48/(1-C54)*(1+C23))</f>
        <v/>
      </c>
      <c r="D55" s="23">
        <f>IF(D54="","",D48/(1-D54)*(1+D23))</f>
        <v/>
      </c>
      <c r="E55" s="23">
        <f>IF(E54="","",E48/(1-E54)*(1+E23))</f>
        <v/>
      </c>
    </row>
    <row r="57">
      <c r="A57" s="29" t="inlineStr">
        <is>
          <t>Break-even</t>
        </is>
      </c>
      <c r="B57" s="30" t="n"/>
      <c r="C57" s="30" t="n"/>
      <c r="D57" s="30" t="n"/>
      <c r="E57" s="30" t="n"/>
    </row>
    <row r="58">
      <c r="A58" s="4" t="inlineStr">
        <is>
          <t>Units for this market</t>
        </is>
      </c>
      <c r="B58" s="19">
        <f>INDEX(Settings!$B$56:$C$56,B6)</f>
        <v/>
      </c>
      <c r="C58" s="19">
        <f>INDEX(Settings!$B$56:$C$56,C6)</f>
        <v/>
      </c>
      <c r="D58" s="19">
        <f>INDEX(Settings!$B$56:$C$56,D6)</f>
        <v/>
      </c>
      <c r="E58" s="19">
        <f>INDEX(Settings!$B$56:$C$56,E6)</f>
        <v/>
      </c>
    </row>
    <row r="59">
      <c r="A59" s="4" t="inlineStr">
        <is>
          <t>Landed cost of those units</t>
        </is>
      </c>
      <c r="B59" s="23">
        <f>B20*B58</f>
        <v/>
      </c>
      <c r="C59" s="23">
        <f>C20*C58</f>
        <v/>
      </c>
      <c r="D59" s="23">
        <f>D20*D58</f>
        <v/>
      </c>
      <c r="E59" s="23">
        <f>E20*E58</f>
        <v/>
      </c>
    </row>
    <row r="60">
      <c r="A60" s="4" t="inlineStr">
        <is>
          <t>Cash kept per unit sold (after fees, tax, shipping)</t>
        </is>
      </c>
      <c r="B60" s="23">
        <f>B33-B38-B39-B40</f>
        <v/>
      </c>
      <c r="C60" s="23">
        <f>C33-C38-C39-C40</f>
        <v/>
      </c>
      <c r="D60" s="23">
        <f>D33-D38-D39-D40</f>
        <v/>
      </c>
      <c r="E60" s="23">
        <f>E33-E38-E39-E40</f>
        <v/>
      </c>
    </row>
    <row r="61">
      <c r="A61" s="31" t="inlineStr">
        <is>
          <t>Units to sell to recover landed cost</t>
        </is>
      </c>
      <c r="B61" s="38">
        <f>IF(B60&lt;=0,NA(),ROUNDUP(B59/B60,0))</f>
        <v/>
      </c>
      <c r="C61" s="38">
        <f>IF(C60&lt;=0,NA(),ROUNDUP(C59/C60,0))</f>
        <v/>
      </c>
      <c r="D61" s="38">
        <f>IF(D60&lt;=0,NA(),ROUNDUP(D59/D60,0))</f>
        <v/>
      </c>
      <c r="E61" s="38">
        <f>IF(E60&lt;=0,NA(),ROUNDUP(E59/E60,0))</f>
        <v/>
      </c>
    </row>
    <row r="62">
      <c r="A62" s="4" t="inlineStr">
        <is>
          <t>Share of units</t>
        </is>
      </c>
      <c r="B62" s="33">
        <f>IF(B58=0,0,B61/B58)</f>
        <v/>
      </c>
      <c r="C62" s="33">
        <f>IF(C58=0,0,C61/C58)</f>
        <v/>
      </c>
      <c r="D62" s="33">
        <f>IF(D58=0,0,D61/D58)</f>
        <v/>
      </c>
      <c r="E62" s="33">
        <f>IF(E58=0,0,E61/E58)</f>
        <v/>
      </c>
    </row>
    <row r="63">
      <c r="A63" s="31" t="inlineStr">
        <is>
          <t>Total profit if every unit sells in this channel</t>
        </is>
      </c>
      <c r="B63" s="32">
        <f>B42*B58</f>
        <v/>
      </c>
      <c r="C63" s="32">
        <f>C42*C58</f>
        <v/>
      </c>
      <c r="D63" s="32">
        <f>D42*D58</f>
        <v/>
      </c>
      <c r="E63" s="32">
        <f>E42*E58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Yorosum Dashboard</t>
        </is>
      </c>
    </row>
    <row r="2">
      <c r="A2" s="2" t="inlineStr">
        <is>
          <t>Monthly results come from the Sales and OpEx tabs. Unit economics come from the Price Calculator.</t>
        </is>
      </c>
    </row>
    <row r="4">
      <c r="A4" s="3" t="inlineStr">
        <is>
          <t>Unit economics (per unit)</t>
        </is>
      </c>
      <c r="B4" s="3">
        <f>'Price Calculator'!B4</f>
        <v/>
      </c>
      <c r="C4" s="3">
        <f>'Price Calculator'!C4</f>
        <v/>
      </c>
      <c r="D4" s="3">
        <f>'Price Calculator'!D4</f>
        <v/>
      </c>
      <c r="E4" s="3">
        <f>'Price Calculator'!E4</f>
        <v/>
      </c>
    </row>
    <row r="5">
      <c r="A5" s="4" t="inlineStr">
        <is>
          <t>Customer price incl. VAT (local currency)</t>
        </is>
      </c>
      <c r="B5" s="10">
        <f>'Price Calculator'!B47</f>
        <v/>
      </c>
      <c r="C5" s="10">
        <f>'Price Calculator'!C47</f>
        <v/>
      </c>
      <c r="D5" s="10">
        <f>'Price Calculator'!D47</f>
        <v/>
      </c>
      <c r="E5" s="10">
        <f>'Price Calculator'!E47</f>
        <v/>
      </c>
    </row>
    <row r="6">
      <c r="A6" s="4" t="inlineStr">
        <is>
          <t>Customer price incl. VAT (USD)</t>
        </is>
      </c>
      <c r="B6" s="39">
        <f>'Price Calculator'!B49</f>
        <v/>
      </c>
      <c r="C6" s="39">
        <f>'Price Calculator'!C49</f>
        <v/>
      </c>
      <c r="D6" s="39">
        <f>'Price Calculator'!D49</f>
        <v/>
      </c>
      <c r="E6" s="39">
        <f>'Price Calculator'!E49</f>
        <v/>
      </c>
    </row>
    <row r="7">
      <c r="A7" s="4" t="inlineStr">
        <is>
          <t>Landed cost (KRW)</t>
        </is>
      </c>
      <c r="B7" s="10">
        <f>'Price Calculator'!B20</f>
        <v/>
      </c>
      <c r="C7" s="10">
        <f>'Price Calculator'!C20</f>
        <v/>
      </c>
      <c r="D7" s="10">
        <f>'Price Calculator'!D20</f>
        <v/>
      </c>
      <c r="E7" s="10">
        <f>'Price Calculator'!E20</f>
        <v/>
      </c>
    </row>
    <row r="8">
      <c r="A8" s="4" t="inlineStr">
        <is>
          <t>Profit per unit (KRW)</t>
        </is>
      </c>
      <c r="B8" s="10">
        <f>'Price Calculator'!B42</f>
        <v/>
      </c>
      <c r="C8" s="10">
        <f>'Price Calculator'!C42</f>
        <v/>
      </c>
      <c r="D8" s="10">
        <f>'Price Calculator'!D42</f>
        <v/>
      </c>
      <c r="E8" s="10">
        <f>'Price Calculator'!E42</f>
        <v/>
      </c>
    </row>
    <row r="9">
      <c r="A9" s="4" t="inlineStr">
        <is>
          <t>Margin</t>
        </is>
      </c>
      <c r="B9" s="34">
        <f>'Price Calculator'!B43</f>
        <v/>
      </c>
      <c r="C9" s="34">
        <f>'Price Calculator'!C43</f>
        <v/>
      </c>
      <c r="D9" s="34">
        <f>'Price Calculator'!D43</f>
        <v/>
      </c>
      <c r="E9" s="34">
        <f>'Price Calculator'!E43</f>
        <v/>
      </c>
    </row>
    <row r="10">
      <c r="A10" s="4" t="inlineStr">
        <is>
          <t>Break-even units</t>
        </is>
      </c>
      <c r="B10" s="9">
        <f>'Price Calculator'!B61</f>
        <v/>
      </c>
      <c r="C10" s="9">
        <f>'Price Calculator'!C61</f>
        <v/>
      </c>
      <c r="D10" s="9">
        <f>'Price Calculator'!D61</f>
        <v/>
      </c>
      <c r="E10" s="9">
        <f>'Price Calculator'!E61</f>
        <v/>
      </c>
    </row>
    <row r="12">
      <c r="A12" s="3" t="inlineStr">
        <is>
          <t>Sales mix scenario</t>
        </is>
      </c>
      <c r="B12" s="3" t="inlineStr">
        <is>
          <t>UZ B2B</t>
        </is>
      </c>
      <c r="C12" s="3" t="inlineStr">
        <is>
          <t>UZ B2C</t>
        </is>
      </c>
      <c r="D12" s="3" t="inlineStr">
        <is>
          <t>KR B2B</t>
        </is>
      </c>
      <c r="E12" s="3" t="inlineStr">
        <is>
          <t>KR B2C</t>
        </is>
      </c>
      <c r="F12" s="3" t="inlineStr">
        <is>
          <t>Total</t>
        </is>
      </c>
    </row>
    <row r="13">
      <c r="A13" s="4" t="inlineStr">
        <is>
          <t>Share of units sold through each channel</t>
        </is>
      </c>
      <c r="B13" s="18" t="n">
        <v>0.5</v>
      </c>
      <c r="C13" s="18" t="n">
        <v>0.3</v>
      </c>
      <c r="D13" s="18" t="n">
        <v>0.1</v>
      </c>
      <c r="E13" s="18" t="n">
        <v>0.1</v>
      </c>
      <c r="F13" s="33">
        <f>SUM(B13:E13)</f>
        <v/>
      </c>
    </row>
    <row r="14">
      <c r="A14" s="4" t="inlineStr">
        <is>
          <t>Units</t>
        </is>
      </c>
      <c r="B14" s="19">
        <f>ROUND(Settings!$B$13*B13,0)</f>
        <v/>
      </c>
      <c r="C14" s="19">
        <f>ROUND(Settings!$B$13*C13,0)</f>
        <v/>
      </c>
      <c r="D14" s="19">
        <f>ROUND(Settings!$B$13*D13,0)</f>
        <v/>
      </c>
      <c r="E14" s="19">
        <f>ROUND(Settings!$B$13*E13,0)</f>
        <v/>
      </c>
      <c r="F14" s="19">
        <f>SUM(B14:E14)</f>
        <v/>
      </c>
    </row>
    <row r="15">
      <c r="A15" s="4" t="inlineStr">
        <is>
          <t>Revenue before VAT (KRW)</t>
        </is>
      </c>
      <c r="B15" s="23">
        <f>B14*'Price Calculator'!B33</f>
        <v/>
      </c>
      <c r="C15" s="23">
        <f>C14*'Price Calculator'!C33</f>
        <v/>
      </c>
      <c r="D15" s="23">
        <f>D14*'Price Calculator'!D33</f>
        <v/>
      </c>
      <c r="E15" s="23">
        <f>E14*'Price Calculator'!E33</f>
        <v/>
      </c>
      <c r="F15" s="23">
        <f>SUM(B15:E15)</f>
        <v/>
      </c>
    </row>
    <row r="16">
      <c r="A16" s="31" t="inlineStr">
        <is>
          <t>Profit (KRW)</t>
        </is>
      </c>
      <c r="B16" s="23">
        <f>B14*'Price Calculator'!B42</f>
        <v/>
      </c>
      <c r="C16" s="23">
        <f>C14*'Price Calculator'!C42</f>
        <v/>
      </c>
      <c r="D16" s="23">
        <f>D14*'Price Calculator'!D42</f>
        <v/>
      </c>
      <c r="E16" s="23">
        <f>E14*'Price Calculator'!E42</f>
        <v/>
      </c>
      <c r="F16" s="32">
        <f>SUM(B16:E16)</f>
        <v/>
      </c>
    </row>
    <row r="17">
      <c r="A17" s="4" t="inlineStr">
        <is>
          <t>Profit (USD)</t>
        </is>
      </c>
      <c r="B17" s="40">
        <f>B16/Settings!$D$6</f>
        <v/>
      </c>
      <c r="C17" s="40">
        <f>C16/Settings!$D$6</f>
        <v/>
      </c>
      <c r="D17" s="40">
        <f>D16/Settings!$D$6</f>
        <v/>
      </c>
      <c r="E17" s="40">
        <f>E16/Settings!$D$6</f>
        <v/>
      </c>
      <c r="F17" s="40">
        <f>F16/Settings!$D$6</f>
        <v/>
      </c>
    </row>
    <row r="19">
      <c r="A19" s="3" t="inlineStr">
        <is>
          <t>Stock</t>
        </is>
      </c>
      <c r="B19" s="3" t="inlineStr">
        <is>
          <t>Value</t>
        </is>
      </c>
    </row>
    <row r="20">
      <c r="A20" s="4" t="inlineStr">
        <is>
          <t>Total paid for the batch (KRW)</t>
        </is>
      </c>
      <c r="B20" s="10">
        <f>VLOOKUP(Settings!$B$12,Batches!$J$4:$M$20,3,FALSE)</f>
        <v/>
      </c>
    </row>
    <row r="21">
      <c r="A21" s="4" t="inlineStr">
        <is>
          <t>Units on hand, all locations</t>
        </is>
      </c>
      <c r="B21" s="9">
        <f>Inventory!$J$7</f>
        <v/>
      </c>
    </row>
    <row r="23">
      <c r="A23" s="3" t="inlineStr">
        <is>
          <t>Monthly P&amp;L (KRW)</t>
        </is>
      </c>
      <c r="B23" s="41" t="inlineStr">
        <is>
          <t>2026-07</t>
        </is>
      </c>
      <c r="C23" s="41" t="inlineStr">
        <is>
          <t>2026-08</t>
        </is>
      </c>
      <c r="D23" s="41" t="inlineStr">
        <is>
          <t>2026-09</t>
        </is>
      </c>
      <c r="E23" s="41" t="inlineStr">
        <is>
          <t>2026-10</t>
        </is>
      </c>
      <c r="F23" s="41" t="inlineStr">
        <is>
          <t>2026-11</t>
        </is>
      </c>
      <c r="G23" s="41" t="inlineStr">
        <is>
          <t>2026-12</t>
        </is>
      </c>
      <c r="H23" s="41" t="inlineStr">
        <is>
          <t>2027-01</t>
        </is>
      </c>
      <c r="I23" s="41" t="inlineStr">
        <is>
          <t>2027-02</t>
        </is>
      </c>
      <c r="J23" s="41" t="inlineStr">
        <is>
          <t>2027-03</t>
        </is>
      </c>
      <c r="K23" s="41" t="inlineStr">
        <is>
          <t>2027-04</t>
        </is>
      </c>
      <c r="L23" s="41" t="inlineStr">
        <is>
          <t>2027-05</t>
        </is>
      </c>
      <c r="M23" s="41" t="inlineStr">
        <is>
          <t>2027-06</t>
        </is>
      </c>
      <c r="N23" s="3" t="inlineStr">
        <is>
          <t>Total</t>
        </is>
      </c>
    </row>
    <row r="24">
      <c r="A24" s="4" t="inlineStr">
        <is>
          <t>Revenue before VAT</t>
        </is>
      </c>
      <c r="B24" s="23">
        <f>SUMIFS(Sales!$J:$J,Sales!$P:$P,B$23)</f>
        <v/>
      </c>
      <c r="C24" s="23">
        <f>SUMIFS(Sales!$J:$J,Sales!$P:$P,C$23)</f>
        <v/>
      </c>
      <c r="D24" s="23">
        <f>SUMIFS(Sales!$J:$J,Sales!$P:$P,D$23)</f>
        <v/>
      </c>
      <c r="E24" s="23">
        <f>SUMIFS(Sales!$J:$J,Sales!$P:$P,E$23)</f>
        <v/>
      </c>
      <c r="F24" s="23">
        <f>SUMIFS(Sales!$J:$J,Sales!$P:$P,F$23)</f>
        <v/>
      </c>
      <c r="G24" s="23">
        <f>SUMIFS(Sales!$J:$J,Sales!$P:$P,G$23)</f>
        <v/>
      </c>
      <c r="H24" s="23">
        <f>SUMIFS(Sales!$J:$J,Sales!$P:$P,H$23)</f>
        <v/>
      </c>
      <c r="I24" s="23">
        <f>SUMIFS(Sales!$J:$J,Sales!$P:$P,I$23)</f>
        <v/>
      </c>
      <c r="J24" s="23">
        <f>SUMIFS(Sales!$J:$J,Sales!$P:$P,J$23)</f>
        <v/>
      </c>
      <c r="K24" s="23">
        <f>SUMIFS(Sales!$J:$J,Sales!$P:$P,K$23)</f>
        <v/>
      </c>
      <c r="L24" s="23">
        <f>SUMIFS(Sales!$J:$J,Sales!$P:$P,L$23)</f>
        <v/>
      </c>
      <c r="M24" s="23">
        <f>SUMIFS(Sales!$J:$J,Sales!$P:$P,M$23)</f>
        <v/>
      </c>
      <c r="N24" s="23">
        <f>SUM(B24:M24)</f>
        <v/>
      </c>
    </row>
    <row r="25">
      <c r="A25" s="4" t="inlineStr">
        <is>
          <t>Landed cost of goods sold</t>
        </is>
      </c>
      <c r="B25" s="23">
        <f>SUMIFS(Sales!$M:$M,Sales!$P:$P,B$23)</f>
        <v/>
      </c>
      <c r="C25" s="23">
        <f>SUMIFS(Sales!$M:$M,Sales!$P:$P,C$23)</f>
        <v/>
      </c>
      <c r="D25" s="23">
        <f>SUMIFS(Sales!$M:$M,Sales!$P:$P,D$23)</f>
        <v/>
      </c>
      <c r="E25" s="23">
        <f>SUMIFS(Sales!$M:$M,Sales!$P:$P,E$23)</f>
        <v/>
      </c>
      <c r="F25" s="23">
        <f>SUMIFS(Sales!$M:$M,Sales!$P:$P,F$23)</f>
        <v/>
      </c>
      <c r="G25" s="23">
        <f>SUMIFS(Sales!$M:$M,Sales!$P:$P,G$23)</f>
        <v/>
      </c>
      <c r="H25" s="23">
        <f>SUMIFS(Sales!$M:$M,Sales!$P:$P,H$23)</f>
        <v/>
      </c>
      <c r="I25" s="23">
        <f>SUMIFS(Sales!$M:$M,Sales!$P:$P,I$23)</f>
        <v/>
      </c>
      <c r="J25" s="23">
        <f>SUMIFS(Sales!$M:$M,Sales!$P:$P,J$23)</f>
        <v/>
      </c>
      <c r="K25" s="23">
        <f>SUMIFS(Sales!$M:$M,Sales!$P:$P,K$23)</f>
        <v/>
      </c>
      <c r="L25" s="23">
        <f>SUMIFS(Sales!$M:$M,Sales!$P:$P,L$23)</f>
        <v/>
      </c>
      <c r="M25" s="23">
        <f>SUMIFS(Sales!$M:$M,Sales!$P:$P,M$23)</f>
        <v/>
      </c>
      <c r="N25" s="23">
        <f>SUM(B25:M25)</f>
        <v/>
      </c>
    </row>
    <row r="26">
      <c r="A26" s="4" t="inlineStr">
        <is>
          <t>Fees and turnover tax</t>
        </is>
      </c>
      <c r="B26" s="23">
        <f>SUMIFS(Sales!$K:$K,Sales!$P:$P,B$23)</f>
        <v/>
      </c>
      <c r="C26" s="23">
        <f>SUMIFS(Sales!$K:$K,Sales!$P:$P,C$23)</f>
        <v/>
      </c>
      <c r="D26" s="23">
        <f>SUMIFS(Sales!$K:$K,Sales!$P:$P,D$23)</f>
        <v/>
      </c>
      <c r="E26" s="23">
        <f>SUMIFS(Sales!$K:$K,Sales!$P:$P,E$23)</f>
        <v/>
      </c>
      <c r="F26" s="23">
        <f>SUMIFS(Sales!$K:$K,Sales!$P:$P,F$23)</f>
        <v/>
      </c>
      <c r="G26" s="23">
        <f>SUMIFS(Sales!$K:$K,Sales!$P:$P,G$23)</f>
        <v/>
      </c>
      <c r="H26" s="23">
        <f>SUMIFS(Sales!$K:$K,Sales!$P:$P,H$23)</f>
        <v/>
      </c>
      <c r="I26" s="23">
        <f>SUMIFS(Sales!$K:$K,Sales!$P:$P,I$23)</f>
        <v/>
      </c>
      <c r="J26" s="23">
        <f>SUMIFS(Sales!$K:$K,Sales!$P:$P,J$23)</f>
        <v/>
      </c>
      <c r="K26" s="23">
        <f>SUMIFS(Sales!$K:$K,Sales!$P:$P,K$23)</f>
        <v/>
      </c>
      <c r="L26" s="23">
        <f>SUMIFS(Sales!$K:$K,Sales!$P:$P,L$23)</f>
        <v/>
      </c>
      <c r="M26" s="23">
        <f>SUMIFS(Sales!$K:$K,Sales!$P:$P,M$23)</f>
        <v/>
      </c>
      <c r="N26" s="23">
        <f>SUM(B26:M26)</f>
        <v/>
      </c>
    </row>
    <row r="27">
      <c r="A27" s="4" t="inlineStr">
        <is>
          <t>Shipping and packaging</t>
        </is>
      </c>
      <c r="B27" s="23">
        <f>SUMIFS(Sales!$L:$L,Sales!$P:$P,B$23)</f>
        <v/>
      </c>
      <c r="C27" s="23">
        <f>SUMIFS(Sales!$L:$L,Sales!$P:$P,C$23)</f>
        <v/>
      </c>
      <c r="D27" s="23">
        <f>SUMIFS(Sales!$L:$L,Sales!$P:$P,D$23)</f>
        <v/>
      </c>
      <c r="E27" s="23">
        <f>SUMIFS(Sales!$L:$L,Sales!$P:$P,E$23)</f>
        <v/>
      </c>
      <c r="F27" s="23">
        <f>SUMIFS(Sales!$L:$L,Sales!$P:$P,F$23)</f>
        <v/>
      </c>
      <c r="G27" s="23">
        <f>SUMIFS(Sales!$L:$L,Sales!$P:$P,G$23)</f>
        <v/>
      </c>
      <c r="H27" s="23">
        <f>SUMIFS(Sales!$L:$L,Sales!$P:$P,H$23)</f>
        <v/>
      </c>
      <c r="I27" s="23">
        <f>SUMIFS(Sales!$L:$L,Sales!$P:$P,I$23)</f>
        <v/>
      </c>
      <c r="J27" s="23">
        <f>SUMIFS(Sales!$L:$L,Sales!$P:$P,J$23)</f>
        <v/>
      </c>
      <c r="K27" s="23">
        <f>SUMIFS(Sales!$L:$L,Sales!$P:$P,K$23)</f>
        <v/>
      </c>
      <c r="L27" s="23">
        <f>SUMIFS(Sales!$L:$L,Sales!$P:$P,L$23)</f>
        <v/>
      </c>
      <c r="M27" s="23">
        <f>SUMIFS(Sales!$L:$L,Sales!$P:$P,M$23)</f>
        <v/>
      </c>
      <c r="N27" s="23">
        <f>SUM(B27:M27)</f>
        <v/>
      </c>
    </row>
    <row r="28">
      <c r="A28" s="31" t="inlineStr">
        <is>
          <t>Gross profit</t>
        </is>
      </c>
      <c r="B28" s="32">
        <f>B24-B25-B26-B27</f>
        <v/>
      </c>
      <c r="C28" s="32">
        <f>C24-C25-C26-C27</f>
        <v/>
      </c>
      <c r="D28" s="32">
        <f>D24-D25-D26-D27</f>
        <v/>
      </c>
      <c r="E28" s="32">
        <f>E24-E25-E26-E27</f>
        <v/>
      </c>
      <c r="F28" s="32">
        <f>F24-F25-F26-F27</f>
        <v/>
      </c>
      <c r="G28" s="32">
        <f>G24-G25-G26-G27</f>
        <v/>
      </c>
      <c r="H28" s="32">
        <f>H24-H25-H26-H27</f>
        <v/>
      </c>
      <c r="I28" s="32">
        <f>I24-I25-I26-I27</f>
        <v/>
      </c>
      <c r="J28" s="32">
        <f>J24-J25-J26-J27</f>
        <v/>
      </c>
      <c r="K28" s="32">
        <f>K24-K25-K26-K27</f>
        <v/>
      </c>
      <c r="L28" s="32">
        <f>L24-L25-L26-L27</f>
        <v/>
      </c>
      <c r="M28" s="32">
        <f>M24-M25-M26-M27</f>
        <v/>
      </c>
      <c r="N28" s="32">
        <f>SUM(B28:M28)</f>
        <v/>
      </c>
    </row>
    <row r="29">
      <c r="A29" s="4" t="inlineStr">
        <is>
          <t>Operating expenses</t>
        </is>
      </c>
      <c r="B29" s="23">
        <f>SUMIFS(OpEx!$H:$H,OpEx!$I:$I,B$23)</f>
        <v/>
      </c>
      <c r="C29" s="23">
        <f>SUMIFS(OpEx!$H:$H,OpEx!$I:$I,C$23)</f>
        <v/>
      </c>
      <c r="D29" s="23">
        <f>SUMIFS(OpEx!$H:$H,OpEx!$I:$I,D$23)</f>
        <v/>
      </c>
      <c r="E29" s="23">
        <f>SUMIFS(OpEx!$H:$H,OpEx!$I:$I,E$23)</f>
        <v/>
      </c>
      <c r="F29" s="23">
        <f>SUMIFS(OpEx!$H:$H,OpEx!$I:$I,F$23)</f>
        <v/>
      </c>
      <c r="G29" s="23">
        <f>SUMIFS(OpEx!$H:$H,OpEx!$I:$I,G$23)</f>
        <v/>
      </c>
      <c r="H29" s="23">
        <f>SUMIFS(OpEx!$H:$H,OpEx!$I:$I,H$23)</f>
        <v/>
      </c>
      <c r="I29" s="23">
        <f>SUMIFS(OpEx!$H:$H,OpEx!$I:$I,I$23)</f>
        <v/>
      </c>
      <c r="J29" s="23">
        <f>SUMIFS(OpEx!$H:$H,OpEx!$I:$I,J$23)</f>
        <v/>
      </c>
      <c r="K29" s="23">
        <f>SUMIFS(OpEx!$H:$H,OpEx!$I:$I,K$23)</f>
        <v/>
      </c>
      <c r="L29" s="23">
        <f>SUMIFS(OpEx!$H:$H,OpEx!$I:$I,L$23)</f>
        <v/>
      </c>
      <c r="M29" s="23">
        <f>SUMIFS(OpEx!$H:$H,OpEx!$I:$I,M$23)</f>
        <v/>
      </c>
      <c r="N29" s="23">
        <f>SUM(B29:M29)</f>
        <v/>
      </c>
    </row>
    <row r="30">
      <c r="A30" s="31" t="inlineStr">
        <is>
          <t>Net profit</t>
        </is>
      </c>
      <c r="B30" s="32">
        <f>B28-B29</f>
        <v/>
      </c>
      <c r="C30" s="32">
        <f>C28-C29</f>
        <v/>
      </c>
      <c r="D30" s="32">
        <f>D28-D29</f>
        <v/>
      </c>
      <c r="E30" s="32">
        <f>E28-E29</f>
        <v/>
      </c>
      <c r="F30" s="32">
        <f>F28-F29</f>
        <v/>
      </c>
      <c r="G30" s="32">
        <f>G28-G29</f>
        <v/>
      </c>
      <c r="H30" s="32">
        <f>H28-H29</f>
        <v/>
      </c>
      <c r="I30" s="32">
        <f>I28-I29</f>
        <v/>
      </c>
      <c r="J30" s="32">
        <f>J28-J29</f>
        <v/>
      </c>
      <c r="K30" s="32">
        <f>K28-K29</f>
        <v/>
      </c>
      <c r="L30" s="32">
        <f>L28-L29</f>
        <v/>
      </c>
      <c r="M30" s="32">
        <f>M28-M29</f>
        <v/>
      </c>
      <c r="N30" s="32">
        <f>SUM(B30:M30)</f>
        <v/>
      </c>
    </row>
    <row r="31">
      <c r="A31" s="4" t="inlineStr">
        <is>
          <t>Cumulative net profit</t>
        </is>
      </c>
      <c r="B31" s="23">
        <f>B30</f>
        <v/>
      </c>
      <c r="C31" s="23">
        <f>B31+C30</f>
        <v/>
      </c>
      <c r="D31" s="23">
        <f>C31+D30</f>
        <v/>
      </c>
      <c r="E31" s="23">
        <f>D31+E30</f>
        <v/>
      </c>
      <c r="F31" s="23">
        <f>E31+F30</f>
        <v/>
      </c>
      <c r="G31" s="23">
        <f>F31+G30</f>
        <v/>
      </c>
      <c r="H31" s="23">
        <f>G31+H30</f>
        <v/>
      </c>
      <c r="I31" s="23">
        <f>H31+I30</f>
        <v/>
      </c>
      <c r="J31" s="23">
        <f>I31+J30</f>
        <v/>
      </c>
      <c r="K31" s="23">
        <f>J31+K30</f>
        <v/>
      </c>
      <c r="L31" s="23">
        <f>K31+L30</f>
        <v/>
      </c>
      <c r="M31" s="23">
        <f>L31+M30</f>
        <v/>
      </c>
    </row>
    <row r="32">
      <c r="A32" s="2" t="inlineStr">
        <is>
          <t>Change the month headers to move the 12-month window. They must be text in yyyy-mm form.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34" customWidth="1" min="4" max="4"/>
    <col width="14" customWidth="1" min="5" max="5"/>
    <col width="10" customWidth="1" min="6" max="6"/>
    <col width="14" customWidth="1" min="7" max="7"/>
    <col width="15" customWidth="1" min="8" max="8"/>
    <col width="3" customWidth="1" min="9" max="9"/>
    <col width="9" customWidth="1" min="10" max="10"/>
    <col width="14" customWidth="1" min="11" max="11"/>
    <col width="16" customWidth="1" min="12" max="12"/>
    <col width="16" customWidth="1" min="13" max="13"/>
    <col width="13" customWidth="1" min="14" max="14"/>
  </cols>
  <sheetData>
    <row r="1">
      <c r="A1" s="1" t="inlineStr">
        <is>
          <t>Production batches</t>
        </is>
      </c>
    </row>
    <row r="2">
      <c r="A2" s="2" t="inlineStr">
        <is>
          <t>One row per payment. For a new batch, use a new Batch ID and add it to the summary on the right. B1 payments and units: from the original 1st Production Cost tab.</t>
        </is>
      </c>
    </row>
    <row r="3">
      <c r="A3" s="3" t="inlineStr">
        <is>
          <t>Date</t>
        </is>
      </c>
      <c r="B3" s="3" t="inlineStr">
        <is>
          <t>Batch</t>
        </is>
      </c>
      <c r="C3" s="3" t="inlineStr">
        <is>
          <t>Paid to</t>
        </is>
      </c>
      <c r="D3" s="3" t="inlineStr">
        <is>
          <t>What it covers</t>
        </is>
      </c>
      <c r="E3" s="3" t="inlineStr">
        <is>
          <t>Amount</t>
        </is>
      </c>
      <c r="F3" s="3" t="inlineStr">
        <is>
          <t>Currency</t>
        </is>
      </c>
      <c r="G3" s="3" t="inlineStr">
        <is>
          <t>KRW per unit of currency</t>
        </is>
      </c>
      <c r="H3" s="3" t="inlineStr">
        <is>
          <t>Amount (KRW)</t>
        </is>
      </c>
      <c r="J3" s="3" t="inlineStr">
        <is>
          <t>Batch</t>
        </is>
      </c>
      <c r="K3" s="3" t="inlineStr">
        <is>
          <t>Units produced</t>
        </is>
      </c>
      <c r="L3" s="3" t="inlineStr">
        <is>
          <t>Total paid (KRW)</t>
        </is>
      </c>
      <c r="M3" s="3" t="inlineStr">
        <is>
          <t>Cost per unit (KRW)</t>
        </is>
      </c>
      <c r="N3" s="3" t="inlineStr">
        <is>
          <t>Expiry date</t>
        </is>
      </c>
    </row>
    <row r="4">
      <c r="A4" s="42" t="n">
        <v>46254</v>
      </c>
      <c r="B4" s="8" t="inlineStr">
        <is>
          <t>B1</t>
        </is>
      </c>
      <c r="C4" s="8" t="inlineStr">
        <is>
          <t>CNS Pharm</t>
        </is>
      </c>
      <c r="D4" s="8" t="inlineStr">
        <is>
          <t>Production payment</t>
        </is>
      </c>
      <c r="E4" s="15" t="n">
        <v>9000000</v>
      </c>
      <c r="F4" s="8" t="inlineStr">
        <is>
          <t>KRW</t>
        </is>
      </c>
      <c r="G4" s="7">
        <f>IF(E4="","",IF(F4="KRW",1,IF(F4="USD",Settings!$D$6,IF(F4="UZS",Settings!$D$8,NA()))))</f>
        <v/>
      </c>
      <c r="H4" s="23">
        <f>IF(E4="","",E4*G4)</f>
        <v/>
      </c>
      <c r="J4" s="8" t="inlineStr">
        <is>
          <t>B1</t>
        </is>
      </c>
      <c r="K4" s="15" t="n">
        <v>2793</v>
      </c>
      <c r="L4" s="23">
        <f>SUMIFS($H:$H,$B:$B,J4)</f>
        <v/>
      </c>
      <c r="M4" s="23">
        <f>IF(N(K4)=0,0,L4/K4)</f>
        <v/>
      </c>
      <c r="N4" s="43" t="n"/>
    </row>
    <row r="5">
      <c r="A5" s="42" t="n">
        <v>46307</v>
      </c>
      <c r="B5" s="8" t="inlineStr">
        <is>
          <t>B1</t>
        </is>
      </c>
      <c r="C5" s="8" t="inlineStr">
        <is>
          <t>CNS Pharm</t>
        </is>
      </c>
      <c r="D5" s="8" t="inlineStr">
        <is>
          <t>Production payment</t>
        </is>
      </c>
      <c r="E5" s="15" t="n">
        <v>10000000</v>
      </c>
      <c r="F5" s="8" t="inlineStr">
        <is>
          <t>KRW</t>
        </is>
      </c>
      <c r="G5" s="7">
        <f>IF(E5="","",IF(F5="KRW",1,IF(F5="USD",Settings!$D$6,IF(F5="UZS",Settings!$D$8,NA()))))</f>
        <v/>
      </c>
      <c r="H5" s="23">
        <f>IF(E5="","",E5*G5)</f>
        <v/>
      </c>
      <c r="J5" s="8" t="inlineStr">
        <is>
          <t>B2</t>
        </is>
      </c>
      <c r="K5" s="15" t="n"/>
      <c r="L5" s="23">
        <f>SUMIFS($H:$H,$B:$B,J5)</f>
        <v/>
      </c>
      <c r="M5" s="23">
        <f>IF(N(K5)=0,0,L5/K5)</f>
        <v/>
      </c>
      <c r="N5" s="42" t="n"/>
    </row>
    <row r="6">
      <c r="A6" s="42" t="n">
        <v>46308</v>
      </c>
      <c r="B6" s="8" t="inlineStr">
        <is>
          <t>B1</t>
        </is>
      </c>
      <c r="C6" s="8" t="inlineStr">
        <is>
          <t>CNS Pharm</t>
        </is>
      </c>
      <c r="D6" s="12" t="inlineStr">
        <is>
          <t>Not labelled in the original sheet</t>
        </is>
      </c>
      <c r="E6" s="15" t="n">
        <v>450640</v>
      </c>
      <c r="F6" s="8" t="inlineStr">
        <is>
          <t>KRW</t>
        </is>
      </c>
      <c r="G6" s="7">
        <f>IF(E6="","",IF(F6="KRW",1,IF(F6="USD",Settings!$D$6,IF(F6="UZS",Settings!$D$8,NA()))))</f>
        <v/>
      </c>
      <c r="H6" s="23">
        <f>IF(E6="","",E6*G6)</f>
        <v/>
      </c>
      <c r="J6" s="8" t="inlineStr">
        <is>
          <t>B3</t>
        </is>
      </c>
      <c r="K6" s="15" t="n"/>
      <c r="L6" s="23">
        <f>SUMIFS($H:$H,$B:$B,J6)</f>
        <v/>
      </c>
      <c r="M6" s="23">
        <f>IF(N(K6)=0,0,L6/K6)</f>
        <v/>
      </c>
      <c r="N6" s="42" t="n"/>
    </row>
    <row r="7">
      <c r="A7" s="42" t="n">
        <v>46309</v>
      </c>
      <c r="B7" s="8" t="inlineStr">
        <is>
          <t>B1</t>
        </is>
      </c>
      <c r="C7" s="8" t="inlineStr">
        <is>
          <t>CNS Pharm</t>
        </is>
      </c>
      <c r="D7" s="12" t="inlineStr">
        <is>
          <t>Not labelled in the original sheet</t>
        </is>
      </c>
      <c r="E7" s="15" t="n">
        <v>564696</v>
      </c>
      <c r="F7" s="8" t="inlineStr">
        <is>
          <t>KRW</t>
        </is>
      </c>
      <c r="G7" s="7">
        <f>IF(E7="","",IF(F7="KRW",1,IF(F7="USD",Settings!$D$6,IF(F7="UZS",Settings!$D$8,NA()))))</f>
        <v/>
      </c>
      <c r="H7" s="23">
        <f>IF(E7="","",E7*G7)</f>
        <v/>
      </c>
    </row>
    <row r="8">
      <c r="G8" s="7">
        <f>IF(E8="","",IF(F8="KRW",1,IF(F8="USD",Settings!$D$6,IF(F8="UZS",Settings!$D$8,NA()))))</f>
        <v/>
      </c>
      <c r="H8" s="23">
        <f>IF(E8="","",E8*G8)</f>
        <v/>
      </c>
    </row>
    <row r="9">
      <c r="G9" s="7">
        <f>IF(E9="","",IF(F9="KRW",1,IF(F9="USD",Settings!$D$6,IF(F9="UZS",Settings!$D$8,NA()))))</f>
        <v/>
      </c>
      <c r="H9" s="23">
        <f>IF(E9="","",E9*G9)</f>
        <v/>
      </c>
    </row>
    <row r="10">
      <c r="G10" s="7">
        <f>IF(E10="","",IF(F10="KRW",1,IF(F10="USD",Settings!$D$6,IF(F10="UZS",Settings!$D$8,NA()))))</f>
        <v/>
      </c>
      <c r="H10" s="23">
        <f>IF(E10="","",E10*G10)</f>
        <v/>
      </c>
    </row>
    <row r="11">
      <c r="G11" s="7">
        <f>IF(E11="","",IF(F11="KRW",1,IF(F11="USD",Settings!$D$6,IF(F11="UZS",Settings!$D$8,NA()))))</f>
        <v/>
      </c>
      <c r="H11" s="23">
        <f>IF(E11="","",E11*G11)</f>
        <v/>
      </c>
    </row>
    <row r="12">
      <c r="G12" s="7">
        <f>IF(E12="","",IF(F12="KRW",1,IF(F12="USD",Settings!$D$6,IF(F12="UZS",Settings!$D$8,NA()))))</f>
        <v/>
      </c>
      <c r="H12" s="23">
        <f>IF(E12="","",E12*G12)</f>
        <v/>
      </c>
    </row>
  </sheetData>
  <dataValidations count="1">
    <dataValidation sqref="F4:F200" showDropDown="0" showInputMessage="0" showErrorMessage="0" allowBlank="1" type="list">
      <formula1>"KRW,USD,UZS"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4" customWidth="1" min="4" max="4"/>
    <col width="14" customWidth="1" min="5" max="5"/>
    <col width="10" customWidth="1" min="6" max="6"/>
    <col width="14" customWidth="1" min="7" max="7"/>
    <col width="15" customWidth="1" min="8" max="8"/>
    <col width="3" customWidth="1" min="9" max="9"/>
    <col width="9" customWidth="1" min="10" max="10"/>
    <col width="13" customWidth="1" min="11" max="11"/>
    <col width="15" customWidth="1" min="12" max="12"/>
    <col width="16" customWidth="1" min="13" max="13"/>
    <col width="18" customWidth="1" min="14" max="14"/>
  </cols>
  <sheetData>
    <row r="1">
      <c r="A1" s="1" t="inlineStr">
        <is>
          <t>Shipments and import costs</t>
        </is>
      </c>
    </row>
    <row r="2">
      <c r="A2" s="2" t="inlineStr">
        <is>
          <t>Log each real invoice. Settings uses the freight total when Freight source = Actual.</t>
        </is>
      </c>
    </row>
    <row r="3">
      <c r="A3" s="3" t="inlineStr">
        <is>
          <t>Date</t>
        </is>
      </c>
      <c r="B3" s="3" t="inlineStr">
        <is>
          <t>Batch</t>
        </is>
      </c>
      <c r="C3" s="3" t="inlineStr">
        <is>
          <t>Market</t>
        </is>
      </c>
      <c r="D3" s="3" t="inlineStr">
        <is>
          <t>Cost type</t>
        </is>
      </c>
      <c r="E3" s="3" t="inlineStr">
        <is>
          <t>Amount</t>
        </is>
      </c>
      <c r="F3" s="3" t="inlineStr">
        <is>
          <t>Currency</t>
        </is>
      </c>
      <c r="G3" s="3" t="inlineStr">
        <is>
          <t>KRW per unit of currency</t>
        </is>
      </c>
      <c r="H3" s="3" t="inlineStr">
        <is>
          <t>Amount (KRW)</t>
        </is>
      </c>
      <c r="J3" s="3" t="inlineStr">
        <is>
          <t>Batch</t>
        </is>
      </c>
      <c r="K3" s="3" t="inlineStr">
        <is>
          <t>Units shipped</t>
        </is>
      </c>
      <c r="L3" s="3" t="inlineStr">
        <is>
          <t>Freight (KRW)</t>
        </is>
      </c>
      <c r="M3" s="3" t="inlineStr">
        <is>
          <t>Freight per unit (KRW)</t>
        </is>
      </c>
      <c r="N3" s="3" t="inlineStr">
        <is>
          <t>Other import costs (KRW)</t>
        </is>
      </c>
    </row>
    <row r="4">
      <c r="G4" s="7">
        <f>IF(E4="","",IF(F4="KRW",1,IF(F4="USD",Settings!$D$6,IF(F4="UZS",Settings!$D$8,NA()))))</f>
        <v/>
      </c>
      <c r="H4" s="23">
        <f>IF(E4="","",E4*G4)</f>
        <v/>
      </c>
      <c r="J4" s="8" t="inlineStr">
        <is>
          <t>B1</t>
        </is>
      </c>
      <c r="K4" s="9">
        <f>Settings!$B$33</f>
        <v/>
      </c>
      <c r="L4" s="23">
        <f>SUMIFS($H:$H,$B:$B,J4,$D:$D,"Freight")</f>
        <v/>
      </c>
      <c r="M4" s="23">
        <f>IF(N(K4)=0,0,L4/K4)</f>
        <v/>
      </c>
      <c r="N4" s="23">
        <f>SUMIFS($H:$H,$B:$B,J4)-L4</f>
        <v/>
      </c>
    </row>
    <row r="5">
      <c r="G5" s="7">
        <f>IF(E5="","",IF(F5="KRW",1,IF(F5="USD",Settings!$D$6,IF(F5="UZS",Settings!$D$8,NA()))))</f>
        <v/>
      </c>
      <c r="H5" s="23">
        <f>IF(E5="","",E5*G5)</f>
        <v/>
      </c>
      <c r="J5" s="8" t="inlineStr">
        <is>
          <t>B2</t>
        </is>
      </c>
      <c r="K5" s="15" t="n"/>
      <c r="L5" s="23">
        <f>SUMIFS($H:$H,$B:$B,J5,$D:$D,"Freight")</f>
        <v/>
      </c>
      <c r="M5" s="23">
        <f>IF(N(K5)=0,0,L5/K5)</f>
        <v/>
      </c>
      <c r="N5" s="23">
        <f>SUMIFS($H:$H,$B:$B,J5)-L5</f>
        <v/>
      </c>
    </row>
    <row r="6">
      <c r="G6" s="7">
        <f>IF(E6="","",IF(F6="KRW",1,IF(F6="USD",Settings!$D$6,IF(F6="UZS",Settings!$D$8,NA()))))</f>
        <v/>
      </c>
      <c r="H6" s="23">
        <f>IF(E6="","",E6*G6)</f>
        <v/>
      </c>
      <c r="J6" s="8" t="inlineStr">
        <is>
          <t>B3</t>
        </is>
      </c>
      <c r="K6" s="15" t="n"/>
      <c r="L6" s="23">
        <f>SUMIFS($H:$H,$B:$B,J6,$D:$D,"Freight")</f>
        <v/>
      </c>
      <c r="M6" s="23">
        <f>IF(N(K6)=0,0,L6/K6)</f>
        <v/>
      </c>
      <c r="N6" s="23">
        <f>SUMIFS($H:$H,$B:$B,J6)-L6</f>
        <v/>
      </c>
    </row>
    <row r="7">
      <c r="G7" s="7">
        <f>IF(E7="","",IF(F7="KRW",1,IF(F7="USD",Settings!$D$6,IF(F7="UZS",Settings!$D$8,NA()))))</f>
        <v/>
      </c>
      <c r="H7" s="23">
        <f>IF(E7="","",E7*G7)</f>
        <v/>
      </c>
    </row>
    <row r="8">
      <c r="G8" s="7">
        <f>IF(E8="","",IF(F8="KRW",1,IF(F8="USD",Settings!$D$6,IF(F8="UZS",Settings!$D$8,NA()))))</f>
        <v/>
      </c>
      <c r="H8" s="23">
        <f>IF(E8="","",E8*G8)</f>
        <v/>
      </c>
    </row>
    <row r="9">
      <c r="G9" s="7">
        <f>IF(E9="","",IF(F9="KRW",1,IF(F9="USD",Settings!$D$6,IF(F9="UZS",Settings!$D$8,NA()))))</f>
        <v/>
      </c>
      <c r="H9" s="23">
        <f>IF(E9="","",E9*G9)</f>
        <v/>
      </c>
    </row>
    <row r="10">
      <c r="G10" s="7">
        <f>IF(E10="","",IF(F10="KRW",1,IF(F10="USD",Settings!$D$6,IF(F10="UZS",Settings!$D$8,NA()))))</f>
        <v/>
      </c>
      <c r="H10" s="23">
        <f>IF(E10="","",E10*G10)</f>
        <v/>
      </c>
    </row>
    <row r="11">
      <c r="G11" s="7">
        <f>IF(E11="","",IF(F11="KRW",1,IF(F11="USD",Settings!$D$6,IF(F11="UZS",Settings!$D$8,NA()))))</f>
        <v/>
      </c>
      <c r="H11" s="23">
        <f>IF(E11="","",E11*G11)</f>
        <v/>
      </c>
    </row>
    <row r="12">
      <c r="G12" s="7">
        <f>IF(E12="","",IF(F12="KRW",1,IF(F12="USD",Settings!$D$6,IF(F12="UZS",Settings!$D$8,NA()))))</f>
        <v/>
      </c>
      <c r="H12" s="23">
        <f>IF(E12="","",E12*G12)</f>
        <v/>
      </c>
    </row>
  </sheetData>
  <dataValidations count="3">
    <dataValidation sqref="D4:D200" showDropDown="0" showInputMessage="0" showErrorMessage="0" allowBlank="1" type="list">
      <formula1>"Freight,Insurance,Customs duty,Import VAT,Broker,Certification,Other"</formula1>
    </dataValidation>
    <dataValidation sqref="F4:F200" showDropDown="0" showInputMessage="0" showErrorMessage="0" allowBlank="1" type="list">
      <formula1>"KRW,USD,UZS"</formula1>
    </dataValidation>
    <dataValidation sqref="C4:C200" showDropDown="0" showInputMessage="0" showErrorMessage="0" allowBlank="1" type="list">
      <formula1>"UZ,KR"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0" customWidth="1" min="5" max="5"/>
    <col width="40" customWidth="1" min="6" max="6"/>
    <col width="3" customWidth="1" min="7" max="7"/>
    <col width="3" customWidth="1" min="8" max="8"/>
    <col width="14" customWidth="1" min="9" max="9"/>
    <col width="14" customWidth="1" min="10" max="10"/>
  </cols>
  <sheetData>
    <row r="1">
      <c r="A1" s="1" t="inlineStr">
        <is>
          <t>Inventory movements</t>
        </is>
      </c>
    </row>
    <row r="2">
      <c r="A2" s="2" t="inlineStr">
        <is>
          <t>Units in are positive, units out are negative.</t>
        </is>
      </c>
    </row>
    <row r="3">
      <c r="A3" s="3" t="inlineStr">
        <is>
          <t>Date</t>
        </is>
      </c>
      <c r="B3" s="3" t="inlineStr">
        <is>
          <t>Batch</t>
        </is>
      </c>
      <c r="C3" s="3" t="inlineStr">
        <is>
          <t>Location</t>
        </is>
      </c>
      <c r="D3" s="3" t="inlineStr">
        <is>
          <t>Movement</t>
        </is>
      </c>
      <c r="E3" s="3" t="inlineStr">
        <is>
          <t>Units</t>
        </is>
      </c>
      <c r="F3" s="3" t="inlineStr">
        <is>
          <t>Note</t>
        </is>
      </c>
      <c r="I3" s="3" t="inlineStr">
        <is>
          <t>Location</t>
        </is>
      </c>
      <c r="J3" s="3" t="inlineStr">
        <is>
          <t>Units on hand</t>
        </is>
      </c>
    </row>
    <row r="4">
      <c r="A4" s="43" t="n">
        <v>46309</v>
      </c>
      <c r="B4" s="8" t="inlineStr">
        <is>
          <t>B1</t>
        </is>
      </c>
      <c r="C4" s="12" t="inlineStr">
        <is>
          <t>Korea</t>
        </is>
      </c>
      <c r="D4" s="8" t="inlineStr">
        <is>
          <t>Received</t>
        </is>
      </c>
      <c r="E4" s="9">
        <f>Settings!B13</f>
        <v/>
      </c>
      <c r="F4" s="8" t="inlineStr">
        <is>
          <t>Date and location assumed. Change to the real ones.</t>
        </is>
      </c>
      <c r="I4" s="8" t="inlineStr">
        <is>
          <t>Korea</t>
        </is>
      </c>
      <c r="J4" s="19">
        <f>SUMIFS($E:$E,$C:$C,I4)</f>
        <v/>
      </c>
    </row>
    <row r="5">
      <c r="I5" s="8" t="inlineStr">
        <is>
          <t>Uzbekistan</t>
        </is>
      </c>
      <c r="J5" s="19">
        <f>SUMIFS($E:$E,$C:$C,I5)</f>
        <v/>
      </c>
    </row>
    <row r="6">
      <c r="I6" s="8" t="inlineStr">
        <is>
          <t>In transit</t>
        </is>
      </c>
      <c r="J6" s="19">
        <f>SUMIFS($E:$E,$C:$C,I6)</f>
        <v/>
      </c>
    </row>
    <row r="7">
      <c r="I7" s="31" t="inlineStr">
        <is>
          <t>Total</t>
        </is>
      </c>
      <c r="J7" s="38">
        <f>SUM(J4:J6)</f>
        <v/>
      </c>
    </row>
  </sheetData>
  <dataValidations count="2">
    <dataValidation sqref="D4:D500" showDropDown="0" showInputMessage="0" showErrorMessage="0" allowBlank="1" type="list">
      <formula1>"Received,Sold,Sample,Damaged,Transfer out,Transfer in"</formula1>
    </dataValidation>
    <dataValidation sqref="C4:C500" showDropDown="0" showInputMessage="0" showErrorMessage="0" allowBlank="1" type="list">
      <formula1>"Korea,Uzbekistan,In transit"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8" customWidth="1" min="4" max="4"/>
    <col width="16" customWidth="1" min="5" max="5"/>
    <col width="9" customWidth="1" min="6" max="6"/>
    <col width="12" customWidth="1" min="7" max="7"/>
    <col width="15" customWidth="1" min="8" max="8"/>
    <col width="13" customWidth="1" min="9" max="9"/>
    <col width="15" customWidth="1" min="10" max="10"/>
    <col width="14" customWidth="1" min="11" max="11"/>
    <col width="12" customWidth="1" min="12" max="12"/>
    <col width="14" customWidth="1" min="13" max="13"/>
    <col width="14" customWidth="1" min="14" max="14"/>
    <col width="9" customWidth="1" min="15" max="15"/>
    <col width="9" customWidth="1" min="16" max="16"/>
  </cols>
  <sheetData>
    <row r="1">
      <c r="A1" s="1" t="inlineStr">
        <is>
          <t>Sales</t>
        </is>
      </c>
    </row>
    <row r="2">
      <c r="A2" s="2" t="inlineStr">
        <is>
          <t>Enter date, channel, customer, units and price. Profit uses the current landed cost and fees from the Price Calculator.</t>
        </is>
      </c>
    </row>
    <row r="3">
      <c r="A3" s="3" t="inlineStr">
        <is>
          <t>Date</t>
        </is>
      </c>
      <c r="B3" s="3" t="inlineStr">
        <is>
          <t>Channel</t>
        </is>
      </c>
      <c r="C3" s="3" t="inlineStr">
        <is>
          <t>Customer</t>
        </is>
      </c>
      <c r="D3" s="3" t="inlineStr">
        <is>
          <t>Units</t>
        </is>
      </c>
      <c r="E3" s="3" t="inlineStr">
        <is>
          <t>Price per unit incl. VAT (local currency)</t>
        </is>
      </c>
      <c r="F3" s="3" t="inlineStr">
        <is>
          <t>Channel # (helper)</t>
        </is>
      </c>
      <c r="G3" s="3" t="inlineStr">
        <is>
          <t>KRW per unit of currency</t>
        </is>
      </c>
      <c r="H3" s="3" t="inlineStr">
        <is>
          <t>Revenue incl. VAT (KRW)</t>
        </is>
      </c>
      <c r="I3" s="3" t="inlineStr">
        <is>
          <t>VAT (KRW)</t>
        </is>
      </c>
      <c r="J3" s="3" t="inlineStr">
        <is>
          <t>Revenue before VAT (KRW)</t>
        </is>
      </c>
      <c r="K3" s="3" t="inlineStr">
        <is>
          <t>Fees and turnover tax (KRW)</t>
        </is>
      </c>
      <c r="L3" s="3" t="inlineStr">
        <is>
          <t>Shipping (KRW)</t>
        </is>
      </c>
      <c r="M3" s="3" t="inlineStr">
        <is>
          <t>Landed cost (KRW)</t>
        </is>
      </c>
      <c r="N3" s="3" t="inlineStr">
        <is>
          <t>Profit (KRW)</t>
        </is>
      </c>
      <c r="O3" s="3" t="inlineStr">
        <is>
          <t>Margin</t>
        </is>
      </c>
      <c r="P3" s="3" t="inlineStr">
        <is>
          <t>Month</t>
        </is>
      </c>
    </row>
    <row r="4">
      <c r="A4" s="44" t="n"/>
      <c r="B4" s="8" t="n"/>
      <c r="C4" s="8" t="n"/>
      <c r="D4" s="8" t="n"/>
      <c r="E4" s="8" t="n"/>
      <c r="F4" s="28">
        <f>IF($B4="","",MATCH($B4,'Price Calculator'!$B$4:$E$4,0))</f>
        <v/>
      </c>
      <c r="G4" s="7">
        <f>IF($F4="","",INDEX('Price Calculator'!$B$8:$E$8,$F4))</f>
        <v/>
      </c>
      <c r="H4" s="23">
        <f>IF($F4="","",$D4*$E4*$G4)</f>
        <v/>
      </c>
      <c r="I4" s="23">
        <f>IF($F4="","",$H4-$H4/(1+INDEX('Price Calculator'!$B$23:$E$23,$F4)))</f>
        <v/>
      </c>
      <c r="J4" s="23">
        <f>IF($F4="","",$H4-$I4)</f>
        <v/>
      </c>
      <c r="K4" s="23">
        <f>IF($F4="","",$H4*INDEX('Price Calculator'!$B$25:$E$25,$F4)+$J4*INDEX('Price Calculator'!$B$24:$E$24,$F4))</f>
        <v/>
      </c>
      <c r="L4" s="23">
        <f>IF($F4="","",$D4*INDEX('Price Calculator'!$B$26:$E$26,$F4))</f>
        <v/>
      </c>
      <c r="M4" s="23">
        <f>IF($F4="","",$D4*INDEX('Price Calculator'!$B$20:$E$20,$F4))</f>
        <v/>
      </c>
      <c r="N4" s="23">
        <f>IF($F4="","",$J4-$K4-$L4-$M4)</f>
        <v/>
      </c>
      <c r="O4" s="33">
        <f>IF(N($J4)=0,"",$N4/$J4)</f>
        <v/>
      </c>
      <c r="P4" s="4">
        <f>IF($A4="","",TEXT($A4,"yyyy-mm"))</f>
        <v/>
      </c>
    </row>
    <row r="5">
      <c r="A5" s="44" t="n"/>
      <c r="B5" s="8" t="n"/>
      <c r="C5" s="8" t="n"/>
      <c r="D5" s="8" t="n"/>
      <c r="E5" s="8" t="n"/>
      <c r="F5" s="28">
        <f>IF($B5="","",MATCH($B5,'Price Calculator'!$B$4:$E$4,0))</f>
        <v/>
      </c>
      <c r="G5" s="7">
        <f>IF($F5="","",INDEX('Price Calculator'!$B$8:$E$8,$F5))</f>
        <v/>
      </c>
      <c r="H5" s="23">
        <f>IF($F5="","",$D5*$E5*$G5)</f>
        <v/>
      </c>
      <c r="I5" s="23">
        <f>IF($F5="","",$H5-$H5/(1+INDEX('Price Calculator'!$B$23:$E$23,$F5)))</f>
        <v/>
      </c>
      <c r="J5" s="23">
        <f>IF($F5="","",$H5-$I5)</f>
        <v/>
      </c>
      <c r="K5" s="23">
        <f>IF($F5="","",$H5*INDEX('Price Calculator'!$B$25:$E$25,$F5)+$J5*INDEX('Price Calculator'!$B$24:$E$24,$F5))</f>
        <v/>
      </c>
      <c r="L5" s="23">
        <f>IF($F5="","",$D5*INDEX('Price Calculator'!$B$26:$E$26,$F5))</f>
        <v/>
      </c>
      <c r="M5" s="23">
        <f>IF($F5="","",$D5*INDEX('Price Calculator'!$B$20:$E$20,$F5))</f>
        <v/>
      </c>
      <c r="N5" s="23">
        <f>IF($F5="","",$J5-$K5-$L5-$M5)</f>
        <v/>
      </c>
      <c r="O5" s="33">
        <f>IF(N($J5)=0,"",$N5/$J5)</f>
        <v/>
      </c>
      <c r="P5" s="4">
        <f>IF($A5="","",TEXT($A5,"yyyy-mm"))</f>
        <v/>
      </c>
    </row>
    <row r="6">
      <c r="A6" s="44" t="n"/>
      <c r="B6" s="8" t="n"/>
      <c r="C6" s="8" t="n"/>
      <c r="D6" s="8" t="n"/>
      <c r="E6" s="8" t="n"/>
      <c r="F6" s="28">
        <f>IF($B6="","",MATCH($B6,'Price Calculator'!$B$4:$E$4,0))</f>
        <v/>
      </c>
      <c r="G6" s="7">
        <f>IF($F6="","",INDEX('Price Calculator'!$B$8:$E$8,$F6))</f>
        <v/>
      </c>
      <c r="H6" s="23">
        <f>IF($F6="","",$D6*$E6*$G6)</f>
        <v/>
      </c>
      <c r="I6" s="23">
        <f>IF($F6="","",$H6-$H6/(1+INDEX('Price Calculator'!$B$23:$E$23,$F6)))</f>
        <v/>
      </c>
      <c r="J6" s="23">
        <f>IF($F6="","",$H6-$I6)</f>
        <v/>
      </c>
      <c r="K6" s="23">
        <f>IF($F6="","",$H6*INDEX('Price Calculator'!$B$25:$E$25,$F6)+$J6*INDEX('Price Calculator'!$B$24:$E$24,$F6))</f>
        <v/>
      </c>
      <c r="L6" s="23">
        <f>IF($F6="","",$D6*INDEX('Price Calculator'!$B$26:$E$26,$F6))</f>
        <v/>
      </c>
      <c r="M6" s="23">
        <f>IF($F6="","",$D6*INDEX('Price Calculator'!$B$20:$E$20,$F6))</f>
        <v/>
      </c>
      <c r="N6" s="23">
        <f>IF($F6="","",$J6-$K6-$L6-$M6)</f>
        <v/>
      </c>
      <c r="O6" s="33">
        <f>IF(N($J6)=0,"",$N6/$J6)</f>
        <v/>
      </c>
      <c r="P6" s="4">
        <f>IF($A6="","",TEXT($A6,"yyyy-mm"))</f>
        <v/>
      </c>
    </row>
    <row r="7">
      <c r="A7" s="44" t="n"/>
      <c r="B7" s="8" t="n"/>
      <c r="C7" s="8" t="n"/>
      <c r="D7" s="8" t="n"/>
      <c r="E7" s="8" t="n"/>
      <c r="F7" s="28">
        <f>IF($B7="","",MATCH($B7,'Price Calculator'!$B$4:$E$4,0))</f>
        <v/>
      </c>
      <c r="G7" s="7">
        <f>IF($F7="","",INDEX('Price Calculator'!$B$8:$E$8,$F7))</f>
        <v/>
      </c>
      <c r="H7" s="23">
        <f>IF($F7="","",$D7*$E7*$G7)</f>
        <v/>
      </c>
      <c r="I7" s="23">
        <f>IF($F7="","",$H7-$H7/(1+INDEX('Price Calculator'!$B$23:$E$23,$F7)))</f>
        <v/>
      </c>
      <c r="J7" s="23">
        <f>IF($F7="","",$H7-$I7)</f>
        <v/>
      </c>
      <c r="K7" s="23">
        <f>IF($F7="","",$H7*INDEX('Price Calculator'!$B$25:$E$25,$F7)+$J7*INDEX('Price Calculator'!$B$24:$E$24,$F7))</f>
        <v/>
      </c>
      <c r="L7" s="23">
        <f>IF($F7="","",$D7*INDEX('Price Calculator'!$B$26:$E$26,$F7))</f>
        <v/>
      </c>
      <c r="M7" s="23">
        <f>IF($F7="","",$D7*INDEX('Price Calculator'!$B$20:$E$20,$F7))</f>
        <v/>
      </c>
      <c r="N7" s="23">
        <f>IF($F7="","",$J7-$K7-$L7-$M7)</f>
        <v/>
      </c>
      <c r="O7" s="33">
        <f>IF(N($J7)=0,"",$N7/$J7)</f>
        <v/>
      </c>
      <c r="P7" s="4">
        <f>IF($A7="","",TEXT($A7,"yyyy-mm"))</f>
        <v/>
      </c>
    </row>
    <row r="8">
      <c r="A8" s="44" t="n"/>
      <c r="B8" s="8" t="n"/>
      <c r="C8" s="8" t="n"/>
      <c r="D8" s="8" t="n"/>
      <c r="E8" s="8" t="n"/>
      <c r="F8" s="28">
        <f>IF($B8="","",MATCH($B8,'Price Calculator'!$B$4:$E$4,0))</f>
        <v/>
      </c>
      <c r="G8" s="7">
        <f>IF($F8="","",INDEX('Price Calculator'!$B$8:$E$8,$F8))</f>
        <v/>
      </c>
      <c r="H8" s="23">
        <f>IF($F8="","",$D8*$E8*$G8)</f>
        <v/>
      </c>
      <c r="I8" s="23">
        <f>IF($F8="","",$H8-$H8/(1+INDEX('Price Calculator'!$B$23:$E$23,$F8)))</f>
        <v/>
      </c>
      <c r="J8" s="23">
        <f>IF($F8="","",$H8-$I8)</f>
        <v/>
      </c>
      <c r="K8" s="23">
        <f>IF($F8="","",$H8*INDEX('Price Calculator'!$B$25:$E$25,$F8)+$J8*INDEX('Price Calculator'!$B$24:$E$24,$F8))</f>
        <v/>
      </c>
      <c r="L8" s="23">
        <f>IF($F8="","",$D8*INDEX('Price Calculator'!$B$26:$E$26,$F8))</f>
        <v/>
      </c>
      <c r="M8" s="23">
        <f>IF($F8="","",$D8*INDEX('Price Calculator'!$B$20:$E$20,$F8))</f>
        <v/>
      </c>
      <c r="N8" s="23">
        <f>IF($F8="","",$J8-$K8-$L8-$M8)</f>
        <v/>
      </c>
      <c r="O8" s="33">
        <f>IF(N($J8)=0,"",$N8/$J8)</f>
        <v/>
      </c>
      <c r="P8" s="4">
        <f>IF($A8="","",TEXT($A8,"yyyy-mm"))</f>
        <v/>
      </c>
    </row>
    <row r="9">
      <c r="A9" s="44" t="n"/>
      <c r="B9" s="8" t="n"/>
      <c r="C9" s="8" t="n"/>
      <c r="D9" s="8" t="n"/>
      <c r="E9" s="8" t="n"/>
      <c r="F9" s="28">
        <f>IF($B9="","",MATCH($B9,'Price Calculator'!$B$4:$E$4,0))</f>
        <v/>
      </c>
      <c r="G9" s="7">
        <f>IF($F9="","",INDEX('Price Calculator'!$B$8:$E$8,$F9))</f>
        <v/>
      </c>
      <c r="H9" s="23">
        <f>IF($F9="","",$D9*$E9*$G9)</f>
        <v/>
      </c>
      <c r="I9" s="23">
        <f>IF($F9="","",$H9-$H9/(1+INDEX('Price Calculator'!$B$23:$E$23,$F9)))</f>
        <v/>
      </c>
      <c r="J9" s="23">
        <f>IF($F9="","",$H9-$I9)</f>
        <v/>
      </c>
      <c r="K9" s="23">
        <f>IF($F9="","",$H9*INDEX('Price Calculator'!$B$25:$E$25,$F9)+$J9*INDEX('Price Calculator'!$B$24:$E$24,$F9))</f>
        <v/>
      </c>
      <c r="L9" s="23">
        <f>IF($F9="","",$D9*INDEX('Price Calculator'!$B$26:$E$26,$F9))</f>
        <v/>
      </c>
      <c r="M9" s="23">
        <f>IF($F9="","",$D9*INDEX('Price Calculator'!$B$20:$E$20,$F9))</f>
        <v/>
      </c>
      <c r="N9" s="23">
        <f>IF($F9="","",$J9-$K9-$L9-$M9)</f>
        <v/>
      </c>
      <c r="O9" s="33">
        <f>IF(N($J9)=0,"",$N9/$J9)</f>
        <v/>
      </c>
      <c r="P9" s="4">
        <f>IF($A9="","",TEXT($A9,"yyyy-mm"))</f>
        <v/>
      </c>
    </row>
    <row r="10">
      <c r="A10" s="44" t="n"/>
      <c r="B10" s="8" t="n"/>
      <c r="C10" s="8" t="n"/>
      <c r="D10" s="8" t="n"/>
      <c r="E10" s="8" t="n"/>
      <c r="F10" s="28">
        <f>IF($B10="","",MATCH($B10,'Price Calculator'!$B$4:$E$4,0))</f>
        <v/>
      </c>
      <c r="G10" s="7">
        <f>IF($F10="","",INDEX('Price Calculator'!$B$8:$E$8,$F10))</f>
        <v/>
      </c>
      <c r="H10" s="23">
        <f>IF($F10="","",$D10*$E10*$G10)</f>
        <v/>
      </c>
      <c r="I10" s="23">
        <f>IF($F10="","",$H10-$H10/(1+INDEX('Price Calculator'!$B$23:$E$23,$F10)))</f>
        <v/>
      </c>
      <c r="J10" s="23">
        <f>IF($F10="","",$H10-$I10)</f>
        <v/>
      </c>
      <c r="K10" s="23">
        <f>IF($F10="","",$H10*INDEX('Price Calculator'!$B$25:$E$25,$F10)+$J10*INDEX('Price Calculator'!$B$24:$E$24,$F10))</f>
        <v/>
      </c>
      <c r="L10" s="23">
        <f>IF($F10="","",$D10*INDEX('Price Calculator'!$B$26:$E$26,$F10))</f>
        <v/>
      </c>
      <c r="M10" s="23">
        <f>IF($F10="","",$D10*INDEX('Price Calculator'!$B$20:$E$20,$F10))</f>
        <v/>
      </c>
      <c r="N10" s="23">
        <f>IF($F10="","",$J10-$K10-$L10-$M10)</f>
        <v/>
      </c>
      <c r="O10" s="33">
        <f>IF(N($J10)=0,"",$N10/$J10)</f>
        <v/>
      </c>
      <c r="P10" s="4">
        <f>IF($A10="","",TEXT($A10,"yyyy-mm"))</f>
        <v/>
      </c>
    </row>
    <row r="11">
      <c r="A11" s="44" t="n"/>
      <c r="B11" s="8" t="n"/>
      <c r="C11" s="8" t="n"/>
      <c r="D11" s="8" t="n"/>
      <c r="E11" s="8" t="n"/>
      <c r="F11" s="28">
        <f>IF($B11="","",MATCH($B11,'Price Calculator'!$B$4:$E$4,0))</f>
        <v/>
      </c>
      <c r="G11" s="7">
        <f>IF($F11="","",INDEX('Price Calculator'!$B$8:$E$8,$F11))</f>
        <v/>
      </c>
      <c r="H11" s="23">
        <f>IF($F11="","",$D11*$E11*$G11)</f>
        <v/>
      </c>
      <c r="I11" s="23">
        <f>IF($F11="","",$H11-$H11/(1+INDEX('Price Calculator'!$B$23:$E$23,$F11)))</f>
        <v/>
      </c>
      <c r="J11" s="23">
        <f>IF($F11="","",$H11-$I11)</f>
        <v/>
      </c>
      <c r="K11" s="23">
        <f>IF($F11="","",$H11*INDEX('Price Calculator'!$B$25:$E$25,$F11)+$J11*INDEX('Price Calculator'!$B$24:$E$24,$F11))</f>
        <v/>
      </c>
      <c r="L11" s="23">
        <f>IF($F11="","",$D11*INDEX('Price Calculator'!$B$26:$E$26,$F11))</f>
        <v/>
      </c>
      <c r="M11" s="23">
        <f>IF($F11="","",$D11*INDEX('Price Calculator'!$B$20:$E$20,$F11))</f>
        <v/>
      </c>
      <c r="N11" s="23">
        <f>IF($F11="","",$J11-$K11-$L11-$M11)</f>
        <v/>
      </c>
      <c r="O11" s="33">
        <f>IF(N($J11)=0,"",$N11/$J11)</f>
        <v/>
      </c>
      <c r="P11" s="4">
        <f>IF($A11="","",TEXT($A11,"yyyy-mm"))</f>
        <v/>
      </c>
    </row>
    <row r="12">
      <c r="A12" s="44" t="n"/>
      <c r="B12" s="8" t="n"/>
      <c r="C12" s="8" t="n"/>
      <c r="D12" s="8" t="n"/>
      <c r="E12" s="8" t="n"/>
      <c r="F12" s="28">
        <f>IF($B12="","",MATCH($B12,'Price Calculator'!$B$4:$E$4,0))</f>
        <v/>
      </c>
      <c r="G12" s="7">
        <f>IF($F12="","",INDEX('Price Calculator'!$B$8:$E$8,$F12))</f>
        <v/>
      </c>
      <c r="H12" s="23">
        <f>IF($F12="","",$D12*$E12*$G12)</f>
        <v/>
      </c>
      <c r="I12" s="23">
        <f>IF($F12="","",$H12-$H12/(1+INDEX('Price Calculator'!$B$23:$E$23,$F12)))</f>
        <v/>
      </c>
      <c r="J12" s="23">
        <f>IF($F12="","",$H12-$I12)</f>
        <v/>
      </c>
      <c r="K12" s="23">
        <f>IF($F12="","",$H12*INDEX('Price Calculator'!$B$25:$E$25,$F12)+$J12*INDEX('Price Calculator'!$B$24:$E$24,$F12))</f>
        <v/>
      </c>
      <c r="L12" s="23">
        <f>IF($F12="","",$D12*INDEX('Price Calculator'!$B$26:$E$26,$F12))</f>
        <v/>
      </c>
      <c r="M12" s="23">
        <f>IF($F12="","",$D12*INDEX('Price Calculator'!$B$20:$E$20,$F12))</f>
        <v/>
      </c>
      <c r="N12" s="23">
        <f>IF($F12="","",$J12-$K12-$L12-$M12)</f>
        <v/>
      </c>
      <c r="O12" s="33">
        <f>IF(N($J12)=0,"",$N12/$J12)</f>
        <v/>
      </c>
      <c r="P12" s="4">
        <f>IF($A12="","",TEXT($A12,"yyyy-mm"))</f>
        <v/>
      </c>
    </row>
    <row r="13">
      <c r="A13" s="44" t="n"/>
      <c r="B13" s="8" t="n"/>
      <c r="C13" s="8" t="n"/>
      <c r="D13" s="8" t="n"/>
      <c r="E13" s="8" t="n"/>
      <c r="F13" s="28">
        <f>IF($B13="","",MATCH($B13,'Price Calculator'!$B$4:$E$4,0))</f>
        <v/>
      </c>
      <c r="G13" s="7">
        <f>IF($F13="","",INDEX('Price Calculator'!$B$8:$E$8,$F13))</f>
        <v/>
      </c>
      <c r="H13" s="23">
        <f>IF($F13="","",$D13*$E13*$G13)</f>
        <v/>
      </c>
      <c r="I13" s="23">
        <f>IF($F13="","",$H13-$H13/(1+INDEX('Price Calculator'!$B$23:$E$23,$F13)))</f>
        <v/>
      </c>
      <c r="J13" s="23">
        <f>IF($F13="","",$H13-$I13)</f>
        <v/>
      </c>
      <c r="K13" s="23">
        <f>IF($F13="","",$H13*INDEX('Price Calculator'!$B$25:$E$25,$F13)+$J13*INDEX('Price Calculator'!$B$24:$E$24,$F13))</f>
        <v/>
      </c>
      <c r="L13" s="23">
        <f>IF($F13="","",$D13*INDEX('Price Calculator'!$B$26:$E$26,$F13))</f>
        <v/>
      </c>
      <c r="M13" s="23">
        <f>IF($F13="","",$D13*INDEX('Price Calculator'!$B$20:$E$20,$F13))</f>
        <v/>
      </c>
      <c r="N13" s="23">
        <f>IF($F13="","",$J13-$K13-$L13-$M13)</f>
        <v/>
      </c>
      <c r="O13" s="33">
        <f>IF(N($J13)=0,"",$N13/$J13)</f>
        <v/>
      </c>
      <c r="P13" s="4">
        <f>IF($A13="","",TEXT($A13,"yyyy-mm"))</f>
        <v/>
      </c>
    </row>
    <row r="15">
      <c r="A15" s="2" t="inlineStr">
        <is>
          <t>Rows 4 to 13 have formulas. To add more rows, copy the last row down.</t>
        </is>
      </c>
    </row>
  </sheetData>
  <dataValidations count="1">
    <dataValidation sqref="B4:B500" showDropDown="0" showInputMessage="0" showErrorMessage="0" allowBlank="1" type="list">
      <formula1>"UZ B2B,UZ B2C,KR B2B,KR B2C"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  <col width="12" customWidth="1" min="5" max="5"/>
    <col width="10" customWidth="1" min="6" max="6"/>
    <col width="14" customWidth="1" min="7" max="7"/>
    <col width="15" customWidth="1" min="8" max="8"/>
    <col width="9" customWidth="1" min="9" max="9"/>
  </cols>
  <sheetData>
    <row r="1">
      <c r="A1" s="1" t="inlineStr">
        <is>
          <t>Operating expenses</t>
        </is>
      </c>
    </row>
    <row r="2">
      <c r="A2" s="2" t="inlineStr">
        <is>
          <t>One row per expense. First two rows are from the original sheet: currency was not stated (KRW assumed) and the second date said 2027 (changed to 2026).</t>
        </is>
      </c>
    </row>
    <row r="3">
      <c r="A3" s="3" t="inlineStr">
        <is>
          <t>Date</t>
        </is>
      </c>
      <c r="B3" s="3" t="inlineStr">
        <is>
          <t>Category</t>
        </is>
      </c>
      <c r="C3" s="3" t="inlineStr">
        <is>
          <t>Vendor</t>
        </is>
      </c>
      <c r="D3" s="3" t="inlineStr">
        <is>
          <t>Description</t>
        </is>
      </c>
      <c r="E3" s="3" t="inlineStr">
        <is>
          <t>Amount</t>
        </is>
      </c>
      <c r="F3" s="3" t="inlineStr">
        <is>
          <t>Currency</t>
        </is>
      </c>
      <c r="G3" s="3" t="inlineStr">
        <is>
          <t>KRW per unit of currency</t>
        </is>
      </c>
      <c r="H3" s="3" t="inlineStr">
        <is>
          <t>Amount (KRW)</t>
        </is>
      </c>
      <c r="I3" s="3" t="inlineStr">
        <is>
          <t>Month</t>
        </is>
      </c>
    </row>
    <row r="4">
      <c r="A4" s="42" t="n">
        <v>46230</v>
      </c>
      <c r="B4" s="8" t="inlineStr">
        <is>
          <t>AI tools</t>
        </is>
      </c>
      <c r="E4" s="15" t="n">
        <v>35884</v>
      </c>
      <c r="F4" s="12" t="inlineStr">
        <is>
          <t>KRW</t>
        </is>
      </c>
      <c r="G4" s="7">
        <f>IF(E4="","",IF(F4="KRW",1,IF(F4="USD",Settings!$D$6,IF(F4="UZS",Settings!$D$8,NA()))))</f>
        <v/>
      </c>
      <c r="H4" s="23">
        <f>IF(E4="","",E4*G4)</f>
        <v/>
      </c>
      <c r="I4" s="4">
        <f>IF(A4="","",TEXT(A4,"yyyy-mm"))</f>
        <v/>
      </c>
    </row>
    <row r="5">
      <c r="A5" s="43" t="n">
        <v>46231</v>
      </c>
      <c r="B5" s="8" t="inlineStr">
        <is>
          <t>AI tools</t>
        </is>
      </c>
      <c r="E5" s="15" t="n">
        <v>35838</v>
      </c>
      <c r="F5" s="12" t="inlineStr">
        <is>
          <t>KRW</t>
        </is>
      </c>
      <c r="G5" s="7">
        <f>IF(E5="","",IF(F5="KRW",1,IF(F5="USD",Settings!$D$6,IF(F5="UZS",Settings!$D$8,NA()))))</f>
        <v/>
      </c>
      <c r="H5" s="23">
        <f>IF(E5="","",E5*G5)</f>
        <v/>
      </c>
      <c r="I5" s="4">
        <f>IF(A5="","",TEXT(A5,"yyyy-mm"))</f>
        <v/>
      </c>
    </row>
    <row r="6">
      <c r="A6" s="44" t="n"/>
      <c r="G6" s="7">
        <f>IF(E6="","",IF(F6="KRW",1,IF(F6="USD",Settings!$D$6,IF(F6="UZS",Settings!$D$8,NA()))))</f>
        <v/>
      </c>
      <c r="H6" s="23">
        <f>IF(E6="","",E6*G6)</f>
        <v/>
      </c>
      <c r="I6" s="4">
        <f>IF(A6="","",TEXT(A6,"yyyy-mm"))</f>
        <v/>
      </c>
    </row>
    <row r="7">
      <c r="A7" s="44" t="n"/>
      <c r="G7" s="7">
        <f>IF(E7="","",IF(F7="KRW",1,IF(F7="USD",Settings!$D$6,IF(F7="UZS",Settings!$D$8,NA()))))</f>
        <v/>
      </c>
      <c r="H7" s="23">
        <f>IF(E7="","",E7*G7)</f>
        <v/>
      </c>
      <c r="I7" s="4">
        <f>IF(A7="","",TEXT(A7,"yyyy-mm"))</f>
        <v/>
      </c>
    </row>
    <row r="8">
      <c r="A8" s="44" t="n"/>
      <c r="G8" s="7">
        <f>IF(E8="","",IF(F8="KRW",1,IF(F8="USD",Settings!$D$6,IF(F8="UZS",Settings!$D$8,NA()))))</f>
        <v/>
      </c>
      <c r="H8" s="23">
        <f>IF(E8="","",E8*G8)</f>
        <v/>
      </c>
      <c r="I8" s="4">
        <f>IF(A8="","",TEXT(A8,"yyyy-mm"))</f>
        <v/>
      </c>
    </row>
    <row r="9">
      <c r="A9" s="44" t="n"/>
      <c r="G9" s="7">
        <f>IF(E9="","",IF(F9="KRW",1,IF(F9="USD",Settings!$D$6,IF(F9="UZS",Settings!$D$8,NA()))))</f>
        <v/>
      </c>
      <c r="H9" s="23">
        <f>IF(E9="","",E9*G9)</f>
        <v/>
      </c>
      <c r="I9" s="4">
        <f>IF(A9="","",TEXT(A9,"yyyy-mm"))</f>
        <v/>
      </c>
    </row>
    <row r="10">
      <c r="A10" s="44" t="n"/>
      <c r="G10" s="7">
        <f>IF(E10="","",IF(F10="KRW",1,IF(F10="USD",Settings!$D$6,IF(F10="UZS",Settings!$D$8,NA()))))</f>
        <v/>
      </c>
      <c r="H10" s="23">
        <f>IF(E10="","",E10*G10)</f>
        <v/>
      </c>
      <c r="I10" s="4">
        <f>IF(A10="","",TEXT(A10,"yyyy-mm"))</f>
        <v/>
      </c>
    </row>
    <row r="11">
      <c r="A11" s="44" t="n"/>
      <c r="G11" s="7">
        <f>IF(E11="","",IF(F11="KRW",1,IF(F11="USD",Settings!$D$6,IF(F11="UZS",Settings!$D$8,NA()))))</f>
        <v/>
      </c>
      <c r="H11" s="23">
        <f>IF(E11="","",E11*G11)</f>
        <v/>
      </c>
      <c r="I11" s="4">
        <f>IF(A11="","",TEXT(A11,"yyyy-mm"))</f>
        <v/>
      </c>
    </row>
    <row r="12">
      <c r="A12" s="44" t="n"/>
      <c r="G12" s="7">
        <f>IF(E12="","",IF(F12="KRW",1,IF(F12="USD",Settings!$D$6,IF(F12="UZS",Settings!$D$8,NA()))))</f>
        <v/>
      </c>
      <c r="H12" s="23">
        <f>IF(E12="","",E12*G12)</f>
        <v/>
      </c>
      <c r="I12" s="4">
        <f>IF(A12="","",TEXT(A12,"yyyy-mm"))</f>
        <v/>
      </c>
    </row>
  </sheetData>
  <dataValidations count="2">
    <dataValidation sqref="B4:B500" showDropDown="0" showInputMessage="0" showErrorMessage="0" allowBlank="1" type="list">
      <formula1>"AI tools,Marketing,Registration,Travel,Software,Samples,Office,Other"</formula1>
    </dataValidation>
    <dataValidation sqref="F4:F500" showDropDown="0" showInputMessage="0" showErrorMessage="0" allowBlank="1" type="list">
      <formula1>"KRW,USD,UZS"</formula1>
    </dataValidation>
  </dataValidations>
  <pageMargins left="0.75" right="0.75" top="1" bottom="1" header="0.5" footer="0.5"/>
</worksheet>
</file>