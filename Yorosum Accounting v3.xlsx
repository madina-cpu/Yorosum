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Production" sheetId="2" state="visible" r:id="rId2"/>
    <sheet xmlns:r="http://schemas.openxmlformats.org/officeDocument/2006/relationships" name="Lots" sheetId="3" state="visible" r:id="rId3"/>
    <sheet xmlns:r="http://schemas.openxmlformats.org/officeDocument/2006/relationships" name="Pricing" sheetId="4" state="visible" r:id="rId4"/>
    <sheet xmlns:r="http://schemas.openxmlformats.org/officeDocument/2006/relationships" name="Sales" sheetId="5" state="visible" r:id="rId5"/>
    <sheet xmlns:r="http://schemas.openxmlformats.org/officeDocument/2006/relationships" name="Expenses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;(#,##0);&quot;-&quot;"/>
    <numFmt numFmtId="166" formatCode="$#,##0.00;($#,##0.00);&quot;-&quot;"/>
    <numFmt numFmtId="167" formatCode="0.0000"/>
    <numFmt numFmtId="168" formatCode="0.0%;(0.0%);&quot;-&quot;"/>
    <numFmt numFmtId="169" formatCode="$#,##0;($#,##0);&quot;-&quot;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i val="1"/>
      <color rgb="00000000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</font>
    <font>
      <name val="Arial"/>
      <color rgb="000000FF"/>
      <sz val="10"/>
    </font>
    <font>
      <name val="Arial"/>
      <color rgb="000000FF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164" fontId="6" fillId="0" borderId="0" pivotButton="0" quotePrefix="0" xfId="0"/>
    <xf numFmtId="0" fontId="6" fillId="0" borderId="0" pivotButton="0" quotePrefix="0" xfId="0"/>
    <xf numFmtId="165" fontId="6" fillId="0" borderId="0" pivotButton="0" quotePrefix="0" xfId="0"/>
    <xf numFmtId="3" fontId="6" fillId="0" borderId="0" pivotButton="0" quotePrefix="0" xfId="0"/>
    <xf numFmtId="165" fontId="4" fillId="0" borderId="0" pivotButton="0" quotePrefix="0" xfId="0"/>
    <xf numFmtId="165" fontId="3" fillId="4" borderId="0" pivotButton="0" quotePrefix="0" xfId="0"/>
    <xf numFmtId="166" fontId="4" fillId="0" borderId="0" pivotButton="0" quotePrefix="0" xfId="0"/>
    <xf numFmtId="0" fontId="6" fillId="3" borderId="0" pivotButton="0" quotePrefix="0" xfId="0"/>
    <xf numFmtId="164" fontId="7" fillId="0" borderId="0" pivotButton="0" quotePrefix="0" xfId="0"/>
    <xf numFmtId="0" fontId="7" fillId="0" borderId="0" pivotButton="0" quotePrefix="0" xfId="0"/>
    <xf numFmtId="165" fontId="7" fillId="0" borderId="0" pivotButton="0" quotePrefix="0" xfId="0"/>
    <xf numFmtId="164" fontId="6" fillId="3" borderId="0" pivotButton="0" quotePrefix="0" xfId="0"/>
    <xf numFmtId="3" fontId="4" fillId="0" borderId="0" pivotButton="0" quotePrefix="0" xfId="0"/>
    <xf numFmtId="2" fontId="6" fillId="3" borderId="0" pivotButton="0" quotePrefix="0" xfId="0"/>
    <xf numFmtId="166" fontId="6" fillId="0" borderId="0" pivotButton="0" quotePrefix="0" xfId="0"/>
    <xf numFmtId="166" fontId="7" fillId="0" borderId="0" pivotButton="0" quotePrefix="0" xfId="0"/>
    <xf numFmtId="165" fontId="6" fillId="3" borderId="0" pivotButton="0" quotePrefix="0" xfId="0"/>
    <xf numFmtId="3" fontId="3" fillId="0" borderId="0" pivotButton="0" quotePrefix="0" xfId="0"/>
    <xf numFmtId="2" fontId="6" fillId="0" borderId="0" pivotButton="0" quotePrefix="0" xfId="0"/>
    <xf numFmtId="0" fontId="3" fillId="5" borderId="0" pivotButton="0" quotePrefix="0" xfId="0"/>
    <xf numFmtId="0" fontId="0" fillId="5" borderId="0" pivotButton="0" quotePrefix="0" xfId="0"/>
    <xf numFmtId="0" fontId="4" fillId="0" borderId="0" pivotButton="0" quotePrefix="0" xfId="0"/>
    <xf numFmtId="4" fontId="6" fillId="0" borderId="0" pivotButton="0" quotePrefix="0" xfId="0"/>
    <xf numFmtId="167" fontId="4" fillId="0" borderId="0" pivotButton="0" quotePrefix="0" xfId="0"/>
    <xf numFmtId="168" fontId="6" fillId="0" borderId="0" pivotButton="0" quotePrefix="0" xfId="0"/>
    <xf numFmtId="168" fontId="6" fillId="3" borderId="0" pivotButton="0" quotePrefix="0" xfId="0"/>
    <xf numFmtId="165" fontId="8" fillId="0" borderId="0" pivotButton="0" quotePrefix="0" xfId="0"/>
    <xf numFmtId="3" fontId="3" fillId="4" borderId="0" pivotButton="0" quotePrefix="0" xfId="0"/>
    <xf numFmtId="168" fontId="3" fillId="4" borderId="0" pivotButton="0" quotePrefix="0" xfId="0"/>
    <xf numFmtId="3" fontId="8" fillId="0" borderId="0" pivotButton="0" quotePrefix="0" xfId="0"/>
    <xf numFmtId="3" fontId="7" fillId="0" borderId="0" pivotButton="0" quotePrefix="0" xfId="0"/>
    <xf numFmtId="168" fontId="4" fillId="0" borderId="0" pivotButton="0" quotePrefix="0" xfId="0"/>
    <xf numFmtId="0" fontId="7" fillId="3" borderId="0" pivotButton="0" quotePrefix="0" xfId="0"/>
    <xf numFmtId="164" fontId="7" fillId="3" borderId="0" pivotButton="0" quotePrefix="0" xfId="0"/>
    <xf numFmtId="169" fontId="4" fillId="0" borderId="0" pivotButton="0" quotePrefix="0" xfId="0"/>
    <xf numFmtId="165" fontId="3" fillId="0" borderId="0" pivotButton="0" quotePrefix="0" xfId="0"/>
    <xf numFmtId="49" fontId="5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Yorosum accounting: how this file works</t>
        </is>
      </c>
    </row>
    <row r="2">
      <c r="A2" s="2" t="inlineStr">
        <is>
          <t>Blue text = you type it. Black = calculated. Yellow = please replace with your real number.</t>
        </is>
      </c>
    </row>
    <row r="4" ht="45" customHeight="1">
      <c r="A4" s="3" t="inlineStr">
        <is>
          <t>1. Production</t>
        </is>
      </c>
      <c r="B4" s="4" t="inlineStr">
        <is>
          <t>Each time CNS Pharm makes a batch, add the payments and the number of units. The file works out the cost per unit for that batch.</t>
        </is>
      </c>
    </row>
    <row r="6" ht="45" customHeight="1">
      <c r="A6" s="3" t="inlineStr">
        <is>
          <t>2. Lots</t>
        </is>
      </c>
      <c r="B6" s="4" t="inlineStr">
        <is>
          <t>Each time you send cartons somewhere, add one row: which batch, how many cartons, the freight rate. The file works out the landed cost per unit for that lot. Stock that stays in Korea is its own lot: leave Cartons empty and it gets whatever is left of the batch.</t>
        </is>
      </c>
    </row>
    <row r="8" ht="45" customHeight="1">
      <c r="A8" s="3" t="inlineStr">
        <is>
          <t>3. Pricing</t>
        </is>
      </c>
      <c r="B8" s="4" t="inlineStr">
        <is>
          <t>Pick a lot for each sales channel and set the margin you want. The file shows the price to charge. Or type a price and see the margin it gives.</t>
        </is>
      </c>
    </row>
    <row r="10" ht="45" customHeight="1">
      <c r="A10" s="3" t="inlineStr">
        <is>
          <t>4. Sales</t>
        </is>
      </c>
      <c r="B10" s="4" t="inlineStr">
        <is>
          <t>Add each sale: date, lot, channel, units, price. Profit uses the real cost of that lot. Units left in each lot update on the Lots tab.</t>
        </is>
      </c>
    </row>
    <row r="12" ht="45" customHeight="1">
      <c r="A12" s="3" t="inlineStr">
        <is>
          <t>5. Expenses</t>
        </is>
      </c>
      <c r="B12" s="4" t="inlineStr">
        <is>
          <t>Add running costs (AI tools, marketing, registration...).</t>
        </is>
      </c>
    </row>
    <row r="14" ht="45" customHeight="1">
      <c r="A14" s="3" t="inlineStr">
        <is>
          <t>6. Summary</t>
        </is>
      </c>
      <c r="B14" s="4" t="inlineStr">
        <is>
          <t>Totals: money spent, stock left in Korea and Uzbekistan, sales, profit by month.</t>
        </is>
      </c>
    </row>
    <row r="17" ht="45" customHeight="1">
      <c r="A17" s="3" t="inlineStr">
        <is>
          <t>Why lots?</t>
        </is>
      </c>
      <c r="B17" s="4" t="inlineStr">
        <is>
          <t>Each batch can cost a different amount to make, and each shipment can cost a different amount to fly. Keeping them as separate lots means every price and profit uses the real cost of the stock you are selling.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34" customWidth="1" min="4" max="4"/>
    <col width="3" customWidth="1" min="5" max="5"/>
    <col width="9" customWidth="1" min="6" max="6"/>
    <col width="12" customWidth="1" min="7" max="7"/>
    <col width="18" customWidth="1" min="8" max="8"/>
    <col width="18" customWidth="1" min="9" max="9"/>
    <col width="16" customWidth="1" min="10" max="10"/>
  </cols>
  <sheetData>
    <row r="1">
      <c r="A1" s="1" t="inlineStr">
        <is>
          <t>Production batches</t>
        </is>
      </c>
    </row>
    <row r="2">
      <c r="A2" s="2" t="inlineStr">
        <is>
          <t>Left: every payment to the factory. Right: one row per batch with its units and cost per unit.</t>
        </is>
      </c>
    </row>
    <row r="4" ht="42" customHeight="1">
      <c r="A4" s="5" t="inlineStr">
        <is>
          <t>Date</t>
        </is>
      </c>
      <c r="B4" s="5" t="inlineStr">
        <is>
          <t>Batch</t>
        </is>
      </c>
      <c r="C4" s="5" t="inlineStr">
        <is>
          <t>Amount paid (KRW)</t>
        </is>
      </c>
      <c r="D4" s="5" t="inlineStr">
        <is>
          <t>What it was for</t>
        </is>
      </c>
      <c r="F4" s="5" t="inlineStr">
        <is>
          <t>Batch</t>
        </is>
      </c>
      <c r="G4" s="5" t="inlineStr">
        <is>
          <t>Units made</t>
        </is>
      </c>
      <c r="H4" s="5" t="inlineStr">
        <is>
          <t>Total paid (KRW)</t>
        </is>
      </c>
      <c r="I4" s="5" t="inlineStr">
        <is>
          <t>Cost per unit (KRW)</t>
        </is>
      </c>
      <c r="J4" s="5" t="inlineStr">
        <is>
          <t>Cost per unit (USD)</t>
        </is>
      </c>
    </row>
    <row r="5">
      <c r="A5" s="6" t="n">
        <v>46254</v>
      </c>
      <c r="B5" s="7" t="inlineStr">
        <is>
          <t>B1</t>
        </is>
      </c>
      <c r="C5" s="8" t="n">
        <v>9000000</v>
      </c>
      <c r="D5" s="7" t="inlineStr">
        <is>
          <t>Production payment</t>
        </is>
      </c>
      <c r="F5" s="7" t="inlineStr">
        <is>
          <t>B1</t>
        </is>
      </c>
      <c r="G5" s="9" t="n">
        <v>2793</v>
      </c>
      <c r="H5" s="10">
        <f>SUMIFS($C:$C,$B:$B,F5)</f>
        <v/>
      </c>
      <c r="I5" s="11">
        <f>IF(N(G5)=0,"",H5/G5)</f>
        <v/>
      </c>
      <c r="J5" s="12">
        <f>IF(I5="","",I5/Pricing!$B$5)</f>
        <v/>
      </c>
    </row>
    <row r="6">
      <c r="A6" s="6" t="n">
        <v>46307</v>
      </c>
      <c r="B6" s="7" t="inlineStr">
        <is>
          <t>B1</t>
        </is>
      </c>
      <c r="C6" s="8" t="n">
        <v>10000000</v>
      </c>
      <c r="D6" s="7" t="inlineStr">
        <is>
          <t>Production payment</t>
        </is>
      </c>
      <c r="F6" s="7" t="inlineStr">
        <is>
          <t>B2</t>
        </is>
      </c>
      <c r="G6" s="9" t="n"/>
      <c r="H6" s="10">
        <f>SUMIFS($C:$C,$B:$B,F6)</f>
        <v/>
      </c>
      <c r="I6" s="11">
        <f>IF(N(G6)=0,"",H6/G6)</f>
        <v/>
      </c>
      <c r="J6" s="12">
        <f>IF(I6="","",I6/Pricing!$B$5)</f>
        <v/>
      </c>
    </row>
    <row r="7">
      <c r="A7" s="6" t="n">
        <v>46308</v>
      </c>
      <c r="B7" s="7" t="inlineStr">
        <is>
          <t>B1</t>
        </is>
      </c>
      <c r="C7" s="8" t="n">
        <v>450640</v>
      </c>
      <c r="D7" s="13" t="inlineStr">
        <is>
          <t>Not labelled in the original sheet</t>
        </is>
      </c>
      <c r="F7" s="7" t="inlineStr">
        <is>
          <t>B3</t>
        </is>
      </c>
      <c r="G7" s="9" t="n"/>
      <c r="H7" s="10">
        <f>SUMIFS($C:$C,$B:$B,F7)</f>
        <v/>
      </c>
      <c r="I7" s="11">
        <f>IF(N(G7)=0,"",H7/G7)</f>
        <v/>
      </c>
      <c r="J7" s="12">
        <f>IF(I7="","",I7/Pricing!$B$5)</f>
        <v/>
      </c>
    </row>
    <row r="8">
      <c r="A8" s="6" t="n">
        <v>46309</v>
      </c>
      <c r="B8" s="7" t="inlineStr">
        <is>
          <t>B1</t>
        </is>
      </c>
      <c r="C8" s="8" t="n">
        <v>564696</v>
      </c>
      <c r="D8" s="13" t="inlineStr">
        <is>
          <t>Not labelled in the original sheet</t>
        </is>
      </c>
      <c r="F8" s="7" t="inlineStr">
        <is>
          <t>B4</t>
        </is>
      </c>
      <c r="G8" s="9" t="n"/>
      <c r="H8" s="10">
        <f>SUMIFS($C:$C,$B:$B,F8)</f>
        <v/>
      </c>
      <c r="I8" s="11">
        <f>IF(N(G8)=0,"",H8/G8)</f>
        <v/>
      </c>
      <c r="J8" s="12">
        <f>IF(I8="","",I8/Pricing!$B$5)</f>
        <v/>
      </c>
    </row>
    <row r="9">
      <c r="A9" s="14" t="n"/>
      <c r="B9" s="15" t="n"/>
      <c r="C9" s="16" t="n"/>
      <c r="D9" s="15" t="n"/>
    </row>
    <row r="10">
      <c r="A10" s="14" t="n"/>
      <c r="B10" s="15" t="n"/>
      <c r="C10" s="16" t="n"/>
      <c r="D10" s="15" t="n"/>
      <c r="F10" s="2" t="inlineStr">
        <is>
          <t>Batch B1 payments and units are from your original sheet.</t>
        </is>
      </c>
    </row>
    <row r="11">
      <c r="A11" s="14" t="n"/>
      <c r="B11" s="15" t="n"/>
      <c r="C11" s="16" t="n"/>
      <c r="D11" s="15" t="n"/>
    </row>
    <row r="12">
      <c r="A12" s="14" t="n"/>
      <c r="B12" s="15" t="n"/>
      <c r="C12" s="16" t="n"/>
      <c r="D12" s="15" t="n"/>
    </row>
    <row r="13">
      <c r="A13" s="14" t="n"/>
      <c r="B13" s="15" t="n"/>
      <c r="C13" s="16" t="n"/>
      <c r="D13" s="15" t="n"/>
    </row>
    <row r="14">
      <c r="A14" s="14" t="n"/>
      <c r="B14" s="15" t="n"/>
      <c r="C14" s="16" t="n"/>
      <c r="D14" s="15" t="n"/>
    </row>
    <row r="15">
      <c r="A15" s="14" t="n"/>
      <c r="B15" s="15" t="n"/>
      <c r="C15" s="16" t="n"/>
      <c r="D15" s="15" t="n"/>
    </row>
    <row r="16">
      <c r="A16" s="14" t="n"/>
      <c r="B16" s="15" t="n"/>
      <c r="C16" s="16" t="n"/>
      <c r="D16" s="15" t="n"/>
    </row>
    <row r="17">
      <c r="A17" s="14" t="n"/>
      <c r="B17" s="15" t="n"/>
      <c r="C17" s="16" t="n"/>
      <c r="D17" s="15" t="n"/>
    </row>
    <row r="18">
      <c r="A18" s="14" t="n"/>
      <c r="B18" s="15" t="n"/>
      <c r="C18" s="16" t="n"/>
      <c r="D18" s="15" t="n"/>
    </row>
    <row r="19">
      <c r="A19" s="14" t="n"/>
      <c r="B19" s="15" t="n"/>
      <c r="C19" s="16" t="n"/>
      <c r="D19" s="15" t="n"/>
    </row>
    <row r="20">
      <c r="A20" s="14" t="n"/>
      <c r="B20" s="15" t="n"/>
      <c r="C20" s="16" t="n"/>
      <c r="D20" s="15" t="n"/>
    </row>
    <row r="21">
      <c r="A21" s="14" t="n"/>
      <c r="B21" s="15" t="n"/>
      <c r="C21" s="16" t="n"/>
      <c r="D21" s="15" t="n"/>
    </row>
    <row r="22">
      <c r="A22" s="14" t="n"/>
      <c r="B22" s="15" t="n"/>
      <c r="C22" s="16" t="n"/>
      <c r="D22" s="15" t="n"/>
    </row>
    <row r="23">
      <c r="A23" s="14" t="n"/>
      <c r="B23" s="15" t="n"/>
      <c r="C23" s="16" t="n"/>
      <c r="D23" s="15" t="n"/>
    </row>
    <row r="24">
      <c r="A24" s="14" t="n"/>
      <c r="B24" s="15" t="n"/>
      <c r="C24" s="16" t="n"/>
      <c r="D24" s="1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7" customWidth="1" min="3" max="3"/>
    <col width="11" customWidth="1" min="4" max="4"/>
    <col width="8" customWidth="1" min="5" max="5"/>
    <col width="9" customWidth="1" min="6" max="6"/>
    <col width="8" customWidth="1" min="7" max="7"/>
    <col width="9" customWidth="1" min="8" max="8"/>
    <col width="9" customWidth="1" min="9" max="9"/>
    <col width="11" customWidth="1" min="10" max="10"/>
    <col width="11" customWidth="1" min="11" max="11"/>
    <col width="14" customWidth="1" min="12" max="12"/>
    <col width="12" customWidth="1" min="13" max="13"/>
    <col width="11" customWidth="1" min="14" max="14"/>
    <col width="11" customWidth="1" min="15" max="15"/>
    <col width="13" customWidth="1" min="16" max="16"/>
    <col width="8" customWidth="1" min="17" max="17"/>
    <col width="8" customWidth="1" min="18" max="18"/>
  </cols>
  <sheetData>
    <row r="1">
      <c r="A1" s="1" t="inlineStr">
        <is>
          <t>Lots (each shipment, plus stock left in Korea)</t>
        </is>
      </c>
    </row>
    <row r="2">
      <c r="A2" s="2" t="inlineStr">
        <is>
          <t>One row per shipment. For stock that stays in Korea, leave Cartons empty: it gets whatever units of the batch were not shipped.</t>
        </is>
      </c>
    </row>
    <row r="4" ht="42" customHeight="1">
      <c r="A4" s="5" t="inlineStr">
        <is>
          <t>Lot</t>
        </is>
      </c>
      <c r="B4" s="5" t="inlineStr">
        <is>
          <t>Date</t>
        </is>
      </c>
      <c r="C4" s="5" t="inlineStr">
        <is>
          <t>Batch</t>
        </is>
      </c>
      <c r="D4" s="5" t="inlineStr">
        <is>
          <t>Location</t>
        </is>
      </c>
      <c r="E4" s="5" t="inlineStr">
        <is>
          <t>Cartons</t>
        </is>
      </c>
      <c r="F4" s="5" t="inlineStr">
        <is>
          <t>Units per carton</t>
        </is>
      </c>
      <c r="G4" s="5" t="inlineStr">
        <is>
          <t>Units</t>
        </is>
      </c>
      <c r="H4" s="5" t="inlineStr">
        <is>
          <t>Carton weight (kg)</t>
        </is>
      </c>
      <c r="I4" s="5" t="inlineStr">
        <is>
          <t>Freight rate (USD/kg)</t>
        </is>
      </c>
      <c r="J4" s="5" t="inlineStr">
        <is>
          <t>Freight invoice (USD, optional)</t>
        </is>
      </c>
      <c r="K4" s="5" t="inlineStr">
        <is>
          <t>Freight (USD)</t>
        </is>
      </c>
      <c r="L4" s="5" t="inlineStr">
        <is>
          <t>Customs and other import costs (KRW)</t>
        </is>
      </c>
      <c r="M4" s="5" t="inlineStr">
        <is>
          <t>Factory cost per unit (KRW)</t>
        </is>
      </c>
      <c r="N4" s="5" t="inlineStr">
        <is>
          <t>Freight per unit (KRW)</t>
        </is>
      </c>
      <c r="O4" s="5" t="inlineStr">
        <is>
          <t>Other costs per unit (KRW)</t>
        </is>
      </c>
      <c r="P4" s="5" t="inlineStr">
        <is>
          <t>Landed cost per unit (KRW)</t>
        </is>
      </c>
      <c r="Q4" s="5" t="inlineStr">
        <is>
          <t>Units sold</t>
        </is>
      </c>
      <c r="R4" s="5" t="inlineStr">
        <is>
          <t>Units left</t>
        </is>
      </c>
    </row>
    <row r="5">
      <c r="A5" s="7" t="inlineStr">
        <is>
          <t>B1-UZ1</t>
        </is>
      </c>
      <c r="B5" s="17" t="n">
        <v>46310</v>
      </c>
      <c r="C5" s="7" t="inlineStr">
        <is>
          <t>B1</t>
        </is>
      </c>
      <c r="D5" s="7" t="inlineStr">
        <is>
          <t>Uzbekistan</t>
        </is>
      </c>
      <c r="E5" s="9" t="n">
        <v>33</v>
      </c>
      <c r="F5" s="9" t="n">
        <v>42</v>
      </c>
      <c r="G5" s="18">
        <f>IF($A5="","",IF($E5="",IFERROR(VLOOKUP($C5,Production!$F$5:$G$30,2,FALSE),0)-SUMPRODUCT(($C$5:$C$24=$C5)*N(+$E$5:$E$24)*N(+$F$5:$F$24)),$E5*$F5))</f>
        <v/>
      </c>
      <c r="H5" s="19" t="n">
        <v>6.5</v>
      </c>
      <c r="I5" s="20" t="n">
        <v>9</v>
      </c>
      <c r="J5" s="21" t="n"/>
      <c r="K5" s="12">
        <f>IF($A5="","",IF($J5&lt;&gt;"",$J5,N($E5)*N($H5)*N($I5)))</f>
        <v/>
      </c>
      <c r="L5" s="22" t="n">
        <v>0</v>
      </c>
      <c r="M5" s="10">
        <f>IF($A5="","",IFERROR(VLOOKUP($C5,Production!$F$5:$I$30,4,FALSE),0))</f>
        <v/>
      </c>
      <c r="N5" s="10">
        <f>IF(N($G5)=0,"",$K5*Pricing!$B$5/$G5)</f>
        <v/>
      </c>
      <c r="O5" s="10">
        <f>IF(N($G5)=0,"",N($L5)/$G5)</f>
        <v/>
      </c>
      <c r="P5" s="11">
        <f>IF($A5="","",$M5+N($N5)+N($O5))</f>
        <v/>
      </c>
      <c r="Q5" s="18">
        <f>IF($A5="","",SUMIFS(Sales!$D:$D,Sales!$B:$B,$A5))</f>
        <v/>
      </c>
      <c r="R5" s="23">
        <f>IF($A5="","",$G5-$Q5)</f>
        <v/>
      </c>
    </row>
    <row r="6">
      <c r="A6" s="7" t="inlineStr">
        <is>
          <t>B1-KR</t>
        </is>
      </c>
      <c r="B6" s="6" t="n"/>
      <c r="C6" s="7" t="inlineStr">
        <is>
          <t>B1</t>
        </is>
      </c>
      <c r="D6" s="7" t="inlineStr">
        <is>
          <t>Korea</t>
        </is>
      </c>
      <c r="E6" s="9" t="n"/>
      <c r="F6" s="9" t="n"/>
      <c r="G6" s="18">
        <f>IF($A6="","",IF($E6="",IFERROR(VLOOKUP($C6,Production!$F$5:$G$30,2,FALSE),0)-SUMPRODUCT(($C$5:$C$24=$C6)*N(+$E$5:$E$24)*N(+$F$5:$F$24)),$E6*$F6))</f>
        <v/>
      </c>
      <c r="H6" s="24" t="n"/>
      <c r="I6" s="20" t="n"/>
      <c r="J6" s="21" t="n"/>
      <c r="K6" s="12">
        <f>IF($A6="","",IF($J6&lt;&gt;"",$J6,N($E6)*N($H6)*N($I6)))</f>
        <v/>
      </c>
      <c r="L6" s="8" t="n"/>
      <c r="M6" s="10">
        <f>IF($A6="","",IFERROR(VLOOKUP($C6,Production!$F$5:$I$30,4,FALSE),0))</f>
        <v/>
      </c>
      <c r="N6" s="10">
        <f>IF(N($G6)=0,"",$K6*Pricing!$B$5/$G6)</f>
        <v/>
      </c>
      <c r="O6" s="10">
        <f>IF(N($G6)=0,"",N($L6)/$G6)</f>
        <v/>
      </c>
      <c r="P6" s="11">
        <f>IF($A6="","",$M6+N($N6)+N($O6))</f>
        <v/>
      </c>
      <c r="Q6" s="18">
        <f>IF($A6="","",SUMIFS(Sales!$D:$D,Sales!$B:$B,$A6))</f>
        <v/>
      </c>
      <c r="R6" s="23">
        <f>IF($A6="","",$G6-$Q6)</f>
        <v/>
      </c>
    </row>
    <row r="7">
      <c r="A7" s="15" t="n"/>
      <c r="B7" s="14" t="n"/>
      <c r="C7" s="15" t="n"/>
      <c r="D7" s="15" t="n"/>
      <c r="E7" s="15" t="n"/>
      <c r="F7" s="15" t="n"/>
      <c r="G7" s="18">
        <f>IF($A7="","",IF($E7="",IFERROR(VLOOKUP($C7,Production!$F$5:$G$30,2,FALSE),0)-SUMPRODUCT(($C$5:$C$24=$C7)*N(+$E$5:$E$24)*N(+$F$5:$F$24)),$E7*$F7))</f>
        <v/>
      </c>
      <c r="H7" s="15" t="n"/>
      <c r="I7" s="15" t="n"/>
      <c r="J7" s="21" t="n"/>
      <c r="K7" s="12">
        <f>IF($A7="","",IF($J7&lt;&gt;"",$J7,N($E7)*N($H7)*N($I7)))</f>
        <v/>
      </c>
      <c r="L7" s="15" t="n"/>
      <c r="M7" s="10">
        <f>IF($A7="","",IFERROR(VLOOKUP($C7,Production!$F$5:$I$30,4,FALSE),0))</f>
        <v/>
      </c>
      <c r="N7" s="10">
        <f>IF(N($G7)=0,"",$K7*Pricing!$B$5/$G7)</f>
        <v/>
      </c>
      <c r="O7" s="10">
        <f>IF(N($G7)=0,"",N($L7)/$G7)</f>
        <v/>
      </c>
      <c r="P7" s="11">
        <f>IF($A7="","",$M7+N($N7)+N($O7))</f>
        <v/>
      </c>
      <c r="Q7" s="18">
        <f>IF($A7="","",SUMIFS(Sales!$D:$D,Sales!$B:$B,$A7))</f>
        <v/>
      </c>
      <c r="R7" s="23">
        <f>IF($A7="","",$G7-$Q7)</f>
        <v/>
      </c>
    </row>
    <row r="8">
      <c r="A8" s="15" t="n"/>
      <c r="B8" s="14" t="n"/>
      <c r="C8" s="15" t="n"/>
      <c r="D8" s="15" t="n"/>
      <c r="E8" s="15" t="n"/>
      <c r="F8" s="15" t="n"/>
      <c r="G8" s="18">
        <f>IF($A8="","",IF($E8="",IFERROR(VLOOKUP($C8,Production!$F$5:$G$30,2,FALSE),0)-SUMPRODUCT(($C$5:$C$24=$C8)*N(+$E$5:$E$24)*N(+$F$5:$F$24)),$E8*$F8))</f>
        <v/>
      </c>
      <c r="H8" s="15" t="n"/>
      <c r="I8" s="15" t="n"/>
      <c r="J8" s="21" t="n"/>
      <c r="K8" s="12">
        <f>IF($A8="","",IF($J8&lt;&gt;"",$J8,N($E8)*N($H8)*N($I8)))</f>
        <v/>
      </c>
      <c r="L8" s="15" t="n"/>
      <c r="M8" s="10">
        <f>IF($A8="","",IFERROR(VLOOKUP($C8,Production!$F$5:$I$30,4,FALSE),0))</f>
        <v/>
      </c>
      <c r="N8" s="10">
        <f>IF(N($G8)=0,"",$K8*Pricing!$B$5/$G8)</f>
        <v/>
      </c>
      <c r="O8" s="10">
        <f>IF(N($G8)=0,"",N($L8)/$G8)</f>
        <v/>
      </c>
      <c r="P8" s="11">
        <f>IF($A8="","",$M8+N($N8)+N($O8))</f>
        <v/>
      </c>
      <c r="Q8" s="18">
        <f>IF($A8="","",SUMIFS(Sales!$D:$D,Sales!$B:$B,$A8))</f>
        <v/>
      </c>
      <c r="R8" s="23">
        <f>IF($A8="","",$G8-$Q8)</f>
        <v/>
      </c>
    </row>
    <row r="9">
      <c r="A9" s="15" t="n"/>
      <c r="B9" s="14" t="n"/>
      <c r="C9" s="15" t="n"/>
      <c r="D9" s="15" t="n"/>
      <c r="E9" s="15" t="n"/>
      <c r="F9" s="15" t="n"/>
      <c r="G9" s="18">
        <f>IF($A9="","",IF($E9="",IFERROR(VLOOKUP($C9,Production!$F$5:$G$30,2,FALSE),0)-SUMPRODUCT(($C$5:$C$24=$C9)*N(+$E$5:$E$24)*N(+$F$5:$F$24)),$E9*$F9))</f>
        <v/>
      </c>
      <c r="H9" s="15" t="n"/>
      <c r="I9" s="15" t="n"/>
      <c r="J9" s="21" t="n"/>
      <c r="K9" s="12">
        <f>IF($A9="","",IF($J9&lt;&gt;"",$J9,N($E9)*N($H9)*N($I9)))</f>
        <v/>
      </c>
      <c r="L9" s="15" t="n"/>
      <c r="M9" s="10">
        <f>IF($A9="","",IFERROR(VLOOKUP($C9,Production!$F$5:$I$30,4,FALSE),0))</f>
        <v/>
      </c>
      <c r="N9" s="10">
        <f>IF(N($G9)=0,"",$K9*Pricing!$B$5/$G9)</f>
        <v/>
      </c>
      <c r="O9" s="10">
        <f>IF(N($G9)=0,"",N($L9)/$G9)</f>
        <v/>
      </c>
      <c r="P9" s="11">
        <f>IF($A9="","",$M9+N($N9)+N($O9))</f>
        <v/>
      </c>
      <c r="Q9" s="18">
        <f>IF($A9="","",SUMIFS(Sales!$D:$D,Sales!$B:$B,$A9))</f>
        <v/>
      </c>
      <c r="R9" s="23">
        <f>IF($A9="","",$G9-$Q9)</f>
        <v/>
      </c>
    </row>
    <row r="10">
      <c r="A10" s="15" t="n"/>
      <c r="B10" s="14" t="n"/>
      <c r="C10" s="15" t="n"/>
      <c r="D10" s="15" t="n"/>
      <c r="E10" s="15" t="n"/>
      <c r="F10" s="15" t="n"/>
      <c r="G10" s="18">
        <f>IF($A10="","",IF($E10="",IFERROR(VLOOKUP($C10,Production!$F$5:$G$30,2,FALSE),0)-SUMPRODUCT(($C$5:$C$24=$C10)*N(+$E$5:$E$24)*N(+$F$5:$F$24)),$E10*$F10))</f>
        <v/>
      </c>
      <c r="H10" s="15" t="n"/>
      <c r="I10" s="15" t="n"/>
      <c r="J10" s="21" t="n"/>
      <c r="K10" s="12">
        <f>IF($A10="","",IF($J10&lt;&gt;"",$J10,N($E10)*N($H10)*N($I10)))</f>
        <v/>
      </c>
      <c r="L10" s="15" t="n"/>
      <c r="M10" s="10">
        <f>IF($A10="","",IFERROR(VLOOKUP($C10,Production!$F$5:$I$30,4,FALSE),0))</f>
        <v/>
      </c>
      <c r="N10" s="10">
        <f>IF(N($G10)=0,"",$K10*Pricing!$B$5/$G10)</f>
        <v/>
      </c>
      <c r="O10" s="10">
        <f>IF(N($G10)=0,"",N($L10)/$G10)</f>
        <v/>
      </c>
      <c r="P10" s="11">
        <f>IF($A10="","",$M10+N($N10)+N($O10))</f>
        <v/>
      </c>
      <c r="Q10" s="18">
        <f>IF($A10="","",SUMIFS(Sales!$D:$D,Sales!$B:$B,$A10))</f>
        <v/>
      </c>
      <c r="R10" s="23">
        <f>IF($A10="","",$G10-$Q10)</f>
        <v/>
      </c>
    </row>
    <row r="11">
      <c r="A11" s="15" t="n"/>
      <c r="B11" s="14" t="n"/>
      <c r="C11" s="15" t="n"/>
      <c r="D11" s="15" t="n"/>
      <c r="E11" s="15" t="n"/>
      <c r="F11" s="15" t="n"/>
      <c r="G11" s="18">
        <f>IF($A11="","",IF($E11="",IFERROR(VLOOKUP($C11,Production!$F$5:$G$30,2,FALSE),0)-SUMPRODUCT(($C$5:$C$24=$C11)*N(+$E$5:$E$24)*N(+$F$5:$F$24)),$E11*$F11))</f>
        <v/>
      </c>
      <c r="H11" s="15" t="n"/>
      <c r="I11" s="15" t="n"/>
      <c r="J11" s="21" t="n"/>
      <c r="K11" s="12">
        <f>IF($A11="","",IF($J11&lt;&gt;"",$J11,N($E11)*N($H11)*N($I11)))</f>
        <v/>
      </c>
      <c r="L11" s="15" t="n"/>
      <c r="M11" s="10">
        <f>IF($A11="","",IFERROR(VLOOKUP($C11,Production!$F$5:$I$30,4,FALSE),0))</f>
        <v/>
      </c>
      <c r="N11" s="10">
        <f>IF(N($G11)=0,"",$K11*Pricing!$B$5/$G11)</f>
        <v/>
      </c>
      <c r="O11" s="10">
        <f>IF(N($G11)=0,"",N($L11)/$G11)</f>
        <v/>
      </c>
      <c r="P11" s="11">
        <f>IF($A11="","",$M11+N($N11)+N($O11))</f>
        <v/>
      </c>
      <c r="Q11" s="18">
        <f>IF($A11="","",SUMIFS(Sales!$D:$D,Sales!$B:$B,$A11))</f>
        <v/>
      </c>
      <c r="R11" s="23">
        <f>IF($A11="","",$G11-$Q11)</f>
        <v/>
      </c>
    </row>
    <row r="12">
      <c r="A12" s="15" t="n"/>
      <c r="B12" s="14" t="n"/>
      <c r="C12" s="15" t="n"/>
      <c r="D12" s="15" t="n"/>
      <c r="E12" s="15" t="n"/>
      <c r="F12" s="15" t="n"/>
      <c r="G12" s="18">
        <f>IF($A12="","",IF($E12="",IFERROR(VLOOKUP($C12,Production!$F$5:$G$30,2,FALSE),0)-SUMPRODUCT(($C$5:$C$24=$C12)*N(+$E$5:$E$24)*N(+$F$5:$F$24)),$E12*$F12))</f>
        <v/>
      </c>
      <c r="H12" s="15" t="n"/>
      <c r="I12" s="15" t="n"/>
      <c r="J12" s="21" t="n"/>
      <c r="K12" s="12">
        <f>IF($A12="","",IF($J12&lt;&gt;"",$J12,N($E12)*N($H12)*N($I12)))</f>
        <v/>
      </c>
      <c r="L12" s="15" t="n"/>
      <c r="M12" s="10">
        <f>IF($A12="","",IFERROR(VLOOKUP($C12,Production!$F$5:$I$30,4,FALSE),0))</f>
        <v/>
      </c>
      <c r="N12" s="10">
        <f>IF(N($G12)=0,"",$K12*Pricing!$B$5/$G12)</f>
        <v/>
      </c>
      <c r="O12" s="10">
        <f>IF(N($G12)=0,"",N($L12)/$G12)</f>
        <v/>
      </c>
      <c r="P12" s="11">
        <f>IF($A12="","",$M12+N($N12)+N($O12))</f>
        <v/>
      </c>
      <c r="Q12" s="18">
        <f>IF($A12="","",SUMIFS(Sales!$D:$D,Sales!$B:$B,$A12))</f>
        <v/>
      </c>
      <c r="R12" s="23">
        <f>IF($A12="","",$G12-$Q12)</f>
        <v/>
      </c>
    </row>
    <row r="13">
      <c r="A13" s="15" t="n"/>
      <c r="B13" s="14" t="n"/>
      <c r="C13" s="15" t="n"/>
      <c r="D13" s="15" t="n"/>
      <c r="E13" s="15" t="n"/>
      <c r="F13" s="15" t="n"/>
      <c r="G13" s="18">
        <f>IF($A13="","",IF($E13="",IFERROR(VLOOKUP($C13,Production!$F$5:$G$30,2,FALSE),0)-SUMPRODUCT(($C$5:$C$24=$C13)*N(+$E$5:$E$24)*N(+$F$5:$F$24)),$E13*$F13))</f>
        <v/>
      </c>
      <c r="H13" s="15" t="n"/>
      <c r="I13" s="15" t="n"/>
      <c r="J13" s="21" t="n"/>
      <c r="K13" s="12">
        <f>IF($A13="","",IF($J13&lt;&gt;"",$J13,N($E13)*N($H13)*N($I13)))</f>
        <v/>
      </c>
      <c r="L13" s="15" t="n"/>
      <c r="M13" s="10">
        <f>IF($A13="","",IFERROR(VLOOKUP($C13,Production!$F$5:$I$30,4,FALSE),0))</f>
        <v/>
      </c>
      <c r="N13" s="10">
        <f>IF(N($G13)=0,"",$K13*Pricing!$B$5/$G13)</f>
        <v/>
      </c>
      <c r="O13" s="10">
        <f>IF(N($G13)=0,"",N($L13)/$G13)</f>
        <v/>
      </c>
      <c r="P13" s="11">
        <f>IF($A13="","",$M13+N($N13)+N($O13))</f>
        <v/>
      </c>
      <c r="Q13" s="18">
        <f>IF($A13="","",SUMIFS(Sales!$D:$D,Sales!$B:$B,$A13))</f>
        <v/>
      </c>
      <c r="R13" s="23">
        <f>IF($A13="","",$G13-$Q13)</f>
        <v/>
      </c>
    </row>
    <row r="14">
      <c r="A14" s="15" t="n"/>
      <c r="B14" s="14" t="n"/>
      <c r="C14" s="15" t="n"/>
      <c r="D14" s="15" t="n"/>
      <c r="E14" s="15" t="n"/>
      <c r="F14" s="15" t="n"/>
      <c r="G14" s="18">
        <f>IF($A14="","",IF($E14="",IFERROR(VLOOKUP($C14,Production!$F$5:$G$30,2,FALSE),0)-SUMPRODUCT(($C$5:$C$24=$C14)*N(+$E$5:$E$24)*N(+$F$5:$F$24)),$E14*$F14))</f>
        <v/>
      </c>
      <c r="H14" s="15" t="n"/>
      <c r="I14" s="15" t="n"/>
      <c r="J14" s="21" t="n"/>
      <c r="K14" s="12">
        <f>IF($A14="","",IF($J14&lt;&gt;"",$J14,N($E14)*N($H14)*N($I14)))</f>
        <v/>
      </c>
      <c r="L14" s="15" t="n"/>
      <c r="M14" s="10">
        <f>IF($A14="","",IFERROR(VLOOKUP($C14,Production!$F$5:$I$30,4,FALSE),0))</f>
        <v/>
      </c>
      <c r="N14" s="10">
        <f>IF(N($G14)=0,"",$K14*Pricing!$B$5/$G14)</f>
        <v/>
      </c>
      <c r="O14" s="10">
        <f>IF(N($G14)=0,"",N($L14)/$G14)</f>
        <v/>
      </c>
      <c r="P14" s="11">
        <f>IF($A14="","",$M14+N($N14)+N($O14))</f>
        <v/>
      </c>
      <c r="Q14" s="18">
        <f>IF($A14="","",SUMIFS(Sales!$D:$D,Sales!$B:$B,$A14))</f>
        <v/>
      </c>
      <c r="R14" s="23">
        <f>IF($A14="","",$G14-$Q14)</f>
        <v/>
      </c>
    </row>
    <row r="15">
      <c r="A15" s="15" t="n"/>
      <c r="B15" s="14" t="n"/>
      <c r="C15" s="15" t="n"/>
      <c r="D15" s="15" t="n"/>
      <c r="E15" s="15" t="n"/>
      <c r="F15" s="15" t="n"/>
      <c r="G15" s="18">
        <f>IF($A15="","",IF($E15="",IFERROR(VLOOKUP($C15,Production!$F$5:$G$30,2,FALSE),0)-SUMPRODUCT(($C$5:$C$24=$C15)*N(+$E$5:$E$24)*N(+$F$5:$F$24)),$E15*$F15))</f>
        <v/>
      </c>
      <c r="H15" s="15" t="n"/>
      <c r="I15" s="15" t="n"/>
      <c r="J15" s="21" t="n"/>
      <c r="K15" s="12">
        <f>IF($A15="","",IF($J15&lt;&gt;"",$J15,N($E15)*N($H15)*N($I15)))</f>
        <v/>
      </c>
      <c r="L15" s="15" t="n"/>
      <c r="M15" s="10">
        <f>IF($A15="","",IFERROR(VLOOKUP($C15,Production!$F$5:$I$30,4,FALSE),0))</f>
        <v/>
      </c>
      <c r="N15" s="10">
        <f>IF(N($G15)=0,"",$K15*Pricing!$B$5/$G15)</f>
        <v/>
      </c>
      <c r="O15" s="10">
        <f>IF(N($G15)=0,"",N($L15)/$G15)</f>
        <v/>
      </c>
      <c r="P15" s="11">
        <f>IF($A15="","",$M15+N($N15)+N($O15))</f>
        <v/>
      </c>
      <c r="Q15" s="18">
        <f>IF($A15="","",SUMIFS(Sales!$D:$D,Sales!$B:$B,$A15))</f>
        <v/>
      </c>
      <c r="R15" s="23">
        <f>IF($A15="","",$G15-$Q15)</f>
        <v/>
      </c>
    </row>
    <row r="16">
      <c r="A16" s="15" t="n"/>
      <c r="B16" s="14" t="n"/>
      <c r="C16" s="15" t="n"/>
      <c r="D16" s="15" t="n"/>
      <c r="E16" s="15" t="n"/>
      <c r="F16" s="15" t="n"/>
      <c r="G16" s="18">
        <f>IF($A16="","",IF($E16="",IFERROR(VLOOKUP($C16,Production!$F$5:$G$30,2,FALSE),0)-SUMPRODUCT(($C$5:$C$24=$C16)*N(+$E$5:$E$24)*N(+$F$5:$F$24)),$E16*$F16))</f>
        <v/>
      </c>
      <c r="H16" s="15" t="n"/>
      <c r="I16" s="15" t="n"/>
      <c r="J16" s="21" t="n"/>
      <c r="K16" s="12">
        <f>IF($A16="","",IF($J16&lt;&gt;"",$J16,N($E16)*N($H16)*N($I16)))</f>
        <v/>
      </c>
      <c r="L16" s="15" t="n"/>
      <c r="M16" s="10">
        <f>IF($A16="","",IFERROR(VLOOKUP($C16,Production!$F$5:$I$30,4,FALSE),0))</f>
        <v/>
      </c>
      <c r="N16" s="10">
        <f>IF(N($G16)=0,"",$K16*Pricing!$B$5/$G16)</f>
        <v/>
      </c>
      <c r="O16" s="10">
        <f>IF(N($G16)=0,"",N($L16)/$G16)</f>
        <v/>
      </c>
      <c r="P16" s="11">
        <f>IF($A16="","",$M16+N($N16)+N($O16))</f>
        <v/>
      </c>
      <c r="Q16" s="18">
        <f>IF($A16="","",SUMIFS(Sales!$D:$D,Sales!$B:$B,$A16))</f>
        <v/>
      </c>
      <c r="R16" s="23">
        <f>IF($A16="","",$G16-$Q16)</f>
        <v/>
      </c>
    </row>
    <row r="17">
      <c r="A17" s="15" t="n"/>
      <c r="B17" s="14" t="n"/>
      <c r="C17" s="15" t="n"/>
      <c r="D17" s="15" t="n"/>
      <c r="E17" s="15" t="n"/>
      <c r="F17" s="15" t="n"/>
      <c r="G17" s="18">
        <f>IF($A17="","",IF($E17="",IFERROR(VLOOKUP($C17,Production!$F$5:$G$30,2,FALSE),0)-SUMPRODUCT(($C$5:$C$24=$C17)*N(+$E$5:$E$24)*N(+$F$5:$F$24)),$E17*$F17))</f>
        <v/>
      </c>
      <c r="H17" s="15" t="n"/>
      <c r="I17" s="15" t="n"/>
      <c r="J17" s="21" t="n"/>
      <c r="K17" s="12">
        <f>IF($A17="","",IF($J17&lt;&gt;"",$J17,N($E17)*N($H17)*N($I17)))</f>
        <v/>
      </c>
      <c r="L17" s="15" t="n"/>
      <c r="M17" s="10">
        <f>IF($A17="","",IFERROR(VLOOKUP($C17,Production!$F$5:$I$30,4,FALSE),0))</f>
        <v/>
      </c>
      <c r="N17" s="10">
        <f>IF(N($G17)=0,"",$K17*Pricing!$B$5/$G17)</f>
        <v/>
      </c>
      <c r="O17" s="10">
        <f>IF(N($G17)=0,"",N($L17)/$G17)</f>
        <v/>
      </c>
      <c r="P17" s="11">
        <f>IF($A17="","",$M17+N($N17)+N($O17))</f>
        <v/>
      </c>
      <c r="Q17" s="18">
        <f>IF($A17="","",SUMIFS(Sales!$D:$D,Sales!$B:$B,$A17))</f>
        <v/>
      </c>
      <c r="R17" s="23">
        <f>IF($A17="","",$G17-$Q17)</f>
        <v/>
      </c>
    </row>
    <row r="18">
      <c r="A18" s="15" t="n"/>
      <c r="B18" s="14" t="n"/>
      <c r="C18" s="15" t="n"/>
      <c r="D18" s="15" t="n"/>
      <c r="E18" s="15" t="n"/>
      <c r="F18" s="15" t="n"/>
      <c r="G18" s="18">
        <f>IF($A18="","",IF($E18="",IFERROR(VLOOKUP($C18,Production!$F$5:$G$30,2,FALSE),0)-SUMPRODUCT(($C$5:$C$24=$C18)*N(+$E$5:$E$24)*N(+$F$5:$F$24)),$E18*$F18))</f>
        <v/>
      </c>
      <c r="H18" s="15" t="n"/>
      <c r="I18" s="15" t="n"/>
      <c r="J18" s="21" t="n"/>
      <c r="K18" s="12">
        <f>IF($A18="","",IF($J18&lt;&gt;"",$J18,N($E18)*N($H18)*N($I18)))</f>
        <v/>
      </c>
      <c r="L18" s="15" t="n"/>
      <c r="M18" s="10">
        <f>IF($A18="","",IFERROR(VLOOKUP($C18,Production!$F$5:$I$30,4,FALSE),0))</f>
        <v/>
      </c>
      <c r="N18" s="10">
        <f>IF(N($G18)=0,"",$K18*Pricing!$B$5/$G18)</f>
        <v/>
      </c>
      <c r="O18" s="10">
        <f>IF(N($G18)=0,"",N($L18)/$G18)</f>
        <v/>
      </c>
      <c r="P18" s="11">
        <f>IF($A18="","",$M18+N($N18)+N($O18))</f>
        <v/>
      </c>
      <c r="Q18" s="18">
        <f>IF($A18="","",SUMIFS(Sales!$D:$D,Sales!$B:$B,$A18))</f>
        <v/>
      </c>
      <c r="R18" s="23">
        <f>IF($A18="","",$G18-$Q18)</f>
        <v/>
      </c>
    </row>
    <row r="19">
      <c r="A19" s="15" t="n"/>
      <c r="B19" s="14" t="n"/>
      <c r="C19" s="15" t="n"/>
      <c r="D19" s="15" t="n"/>
      <c r="E19" s="15" t="n"/>
      <c r="F19" s="15" t="n"/>
      <c r="G19" s="18">
        <f>IF($A19="","",IF($E19="",IFERROR(VLOOKUP($C19,Production!$F$5:$G$30,2,FALSE),0)-SUMPRODUCT(($C$5:$C$24=$C19)*N(+$E$5:$E$24)*N(+$F$5:$F$24)),$E19*$F19))</f>
        <v/>
      </c>
      <c r="H19" s="15" t="n"/>
      <c r="I19" s="15" t="n"/>
      <c r="J19" s="21" t="n"/>
      <c r="K19" s="12">
        <f>IF($A19="","",IF($J19&lt;&gt;"",$J19,N($E19)*N($H19)*N($I19)))</f>
        <v/>
      </c>
      <c r="L19" s="15" t="n"/>
      <c r="M19" s="10">
        <f>IF($A19="","",IFERROR(VLOOKUP($C19,Production!$F$5:$I$30,4,FALSE),0))</f>
        <v/>
      </c>
      <c r="N19" s="10">
        <f>IF(N($G19)=0,"",$K19*Pricing!$B$5/$G19)</f>
        <v/>
      </c>
      <c r="O19" s="10">
        <f>IF(N($G19)=0,"",N($L19)/$G19)</f>
        <v/>
      </c>
      <c r="P19" s="11">
        <f>IF($A19="","",$M19+N($N19)+N($O19))</f>
        <v/>
      </c>
      <c r="Q19" s="18">
        <f>IF($A19="","",SUMIFS(Sales!$D:$D,Sales!$B:$B,$A19))</f>
        <v/>
      </c>
      <c r="R19" s="23">
        <f>IF($A19="","",$G19-$Q19)</f>
        <v/>
      </c>
    </row>
    <row r="20">
      <c r="A20" s="15" t="n"/>
      <c r="B20" s="14" t="n"/>
      <c r="C20" s="15" t="n"/>
      <c r="D20" s="15" t="n"/>
      <c r="E20" s="15" t="n"/>
      <c r="F20" s="15" t="n"/>
      <c r="G20" s="18">
        <f>IF($A20="","",IF($E20="",IFERROR(VLOOKUP($C20,Production!$F$5:$G$30,2,FALSE),0)-SUMPRODUCT(($C$5:$C$24=$C20)*N(+$E$5:$E$24)*N(+$F$5:$F$24)),$E20*$F20))</f>
        <v/>
      </c>
      <c r="H20" s="15" t="n"/>
      <c r="I20" s="15" t="n"/>
      <c r="J20" s="21" t="n"/>
      <c r="K20" s="12">
        <f>IF($A20="","",IF($J20&lt;&gt;"",$J20,N($E20)*N($H20)*N($I20)))</f>
        <v/>
      </c>
      <c r="L20" s="15" t="n"/>
      <c r="M20" s="10">
        <f>IF($A20="","",IFERROR(VLOOKUP($C20,Production!$F$5:$I$30,4,FALSE),0))</f>
        <v/>
      </c>
      <c r="N20" s="10">
        <f>IF(N($G20)=0,"",$K20*Pricing!$B$5/$G20)</f>
        <v/>
      </c>
      <c r="O20" s="10">
        <f>IF(N($G20)=0,"",N($L20)/$G20)</f>
        <v/>
      </c>
      <c r="P20" s="11">
        <f>IF($A20="","",$M20+N($N20)+N($O20))</f>
        <v/>
      </c>
      <c r="Q20" s="18">
        <f>IF($A20="","",SUMIFS(Sales!$D:$D,Sales!$B:$B,$A20))</f>
        <v/>
      </c>
      <c r="R20" s="23">
        <f>IF($A20="","",$G20-$Q20)</f>
        <v/>
      </c>
    </row>
    <row r="21">
      <c r="A21" s="15" t="n"/>
      <c r="B21" s="14" t="n"/>
      <c r="C21" s="15" t="n"/>
      <c r="D21" s="15" t="n"/>
      <c r="E21" s="15" t="n"/>
      <c r="F21" s="15" t="n"/>
      <c r="G21" s="18">
        <f>IF($A21="","",IF($E21="",IFERROR(VLOOKUP($C21,Production!$F$5:$G$30,2,FALSE),0)-SUMPRODUCT(($C$5:$C$24=$C21)*N(+$E$5:$E$24)*N(+$F$5:$F$24)),$E21*$F21))</f>
        <v/>
      </c>
      <c r="H21" s="15" t="n"/>
      <c r="I21" s="15" t="n"/>
      <c r="J21" s="21" t="n"/>
      <c r="K21" s="12">
        <f>IF($A21="","",IF($J21&lt;&gt;"",$J21,N($E21)*N($H21)*N($I21)))</f>
        <v/>
      </c>
      <c r="L21" s="15" t="n"/>
      <c r="M21" s="10">
        <f>IF($A21="","",IFERROR(VLOOKUP($C21,Production!$F$5:$I$30,4,FALSE),0))</f>
        <v/>
      </c>
      <c r="N21" s="10">
        <f>IF(N($G21)=0,"",$K21*Pricing!$B$5/$G21)</f>
        <v/>
      </c>
      <c r="O21" s="10">
        <f>IF(N($G21)=0,"",N($L21)/$G21)</f>
        <v/>
      </c>
      <c r="P21" s="11">
        <f>IF($A21="","",$M21+N($N21)+N($O21))</f>
        <v/>
      </c>
      <c r="Q21" s="18">
        <f>IF($A21="","",SUMIFS(Sales!$D:$D,Sales!$B:$B,$A21))</f>
        <v/>
      </c>
      <c r="R21" s="23">
        <f>IF($A21="","",$G21-$Q21)</f>
        <v/>
      </c>
    </row>
    <row r="22">
      <c r="A22" s="15" t="n"/>
      <c r="B22" s="14" t="n"/>
      <c r="C22" s="15" t="n"/>
      <c r="D22" s="15" t="n"/>
      <c r="E22" s="15" t="n"/>
      <c r="F22" s="15" t="n"/>
      <c r="G22" s="18">
        <f>IF($A22="","",IF($E22="",IFERROR(VLOOKUP($C22,Production!$F$5:$G$30,2,FALSE),0)-SUMPRODUCT(($C$5:$C$24=$C22)*N(+$E$5:$E$24)*N(+$F$5:$F$24)),$E22*$F22))</f>
        <v/>
      </c>
      <c r="H22" s="15" t="n"/>
      <c r="I22" s="15" t="n"/>
      <c r="J22" s="21" t="n"/>
      <c r="K22" s="12">
        <f>IF($A22="","",IF($J22&lt;&gt;"",$J22,N($E22)*N($H22)*N($I22)))</f>
        <v/>
      </c>
      <c r="L22" s="15" t="n"/>
      <c r="M22" s="10">
        <f>IF($A22="","",IFERROR(VLOOKUP($C22,Production!$F$5:$I$30,4,FALSE),0))</f>
        <v/>
      </c>
      <c r="N22" s="10">
        <f>IF(N($G22)=0,"",$K22*Pricing!$B$5/$G22)</f>
        <v/>
      </c>
      <c r="O22" s="10">
        <f>IF(N($G22)=0,"",N($L22)/$G22)</f>
        <v/>
      </c>
      <c r="P22" s="11">
        <f>IF($A22="","",$M22+N($N22)+N($O22))</f>
        <v/>
      </c>
      <c r="Q22" s="18">
        <f>IF($A22="","",SUMIFS(Sales!$D:$D,Sales!$B:$B,$A22))</f>
        <v/>
      </c>
      <c r="R22" s="23">
        <f>IF($A22="","",$G22-$Q22)</f>
        <v/>
      </c>
    </row>
    <row r="23">
      <c r="A23" s="15" t="n"/>
      <c r="B23" s="14" t="n"/>
      <c r="C23" s="15" t="n"/>
      <c r="D23" s="15" t="n"/>
      <c r="E23" s="15" t="n"/>
      <c r="F23" s="15" t="n"/>
      <c r="G23" s="18">
        <f>IF($A23="","",IF($E23="",IFERROR(VLOOKUP($C23,Production!$F$5:$G$30,2,FALSE),0)-SUMPRODUCT(($C$5:$C$24=$C23)*N(+$E$5:$E$24)*N(+$F$5:$F$24)),$E23*$F23))</f>
        <v/>
      </c>
      <c r="H23" s="15" t="n"/>
      <c r="I23" s="15" t="n"/>
      <c r="J23" s="21" t="n"/>
      <c r="K23" s="12">
        <f>IF($A23="","",IF($J23&lt;&gt;"",$J23,N($E23)*N($H23)*N($I23)))</f>
        <v/>
      </c>
      <c r="L23" s="15" t="n"/>
      <c r="M23" s="10">
        <f>IF($A23="","",IFERROR(VLOOKUP($C23,Production!$F$5:$I$30,4,FALSE),0))</f>
        <v/>
      </c>
      <c r="N23" s="10">
        <f>IF(N($G23)=0,"",$K23*Pricing!$B$5/$G23)</f>
        <v/>
      </c>
      <c r="O23" s="10">
        <f>IF(N($G23)=0,"",N($L23)/$G23)</f>
        <v/>
      </c>
      <c r="P23" s="11">
        <f>IF($A23="","",$M23+N($N23)+N($O23))</f>
        <v/>
      </c>
      <c r="Q23" s="18">
        <f>IF($A23="","",SUMIFS(Sales!$D:$D,Sales!$B:$B,$A23))</f>
        <v/>
      </c>
      <c r="R23" s="23">
        <f>IF($A23="","",$G23-$Q23)</f>
        <v/>
      </c>
    </row>
    <row r="24">
      <c r="A24" s="15" t="n"/>
      <c r="B24" s="14" t="n"/>
      <c r="C24" s="15" t="n"/>
      <c r="D24" s="15" t="n"/>
      <c r="E24" s="15" t="n"/>
      <c r="F24" s="15" t="n"/>
      <c r="G24" s="18">
        <f>IF($A24="","",IF($E24="",IFERROR(VLOOKUP($C24,Production!$F$5:$G$30,2,FALSE),0)-SUMPRODUCT(($C$5:$C$24=$C24)*N(+$E$5:$E$24)*N(+$F$5:$F$24)),$E24*$F24))</f>
        <v/>
      </c>
      <c r="H24" s="15" t="n"/>
      <c r="I24" s="15" t="n"/>
      <c r="J24" s="21" t="n"/>
      <c r="K24" s="12">
        <f>IF($A24="","",IF($J24&lt;&gt;"",$J24,N($E24)*N($H24)*N($I24)))</f>
        <v/>
      </c>
      <c r="L24" s="15" t="n"/>
      <c r="M24" s="10">
        <f>IF($A24="","",IFERROR(VLOOKUP($C24,Production!$F$5:$I$30,4,FALSE),0))</f>
        <v/>
      </c>
      <c r="N24" s="10">
        <f>IF(N($G24)=0,"",$K24*Pricing!$B$5/$G24)</f>
        <v/>
      </c>
      <c r="O24" s="10">
        <f>IF(N($G24)=0,"",N($L24)/$G24)</f>
        <v/>
      </c>
      <c r="P24" s="11">
        <f>IF($A24="","",$M24+N($N24)+N($O24))</f>
        <v/>
      </c>
      <c r="Q24" s="18">
        <f>IF($A24="","",SUMIFS(Sales!$D:$D,Sales!$B:$B,$A24))</f>
        <v/>
      </c>
      <c r="R24" s="23">
        <f>IF($A24="","",$G24-$Q24)</f>
        <v/>
      </c>
    </row>
    <row r="26">
      <c r="A26" s="2" t="inlineStr">
        <is>
          <t>Rows 5 to 24 are ready to use. Freight = cartons x carton weight x rate, unless you type the real freight invoice amount.</t>
        </is>
      </c>
    </row>
  </sheetData>
  <dataValidations count="1">
    <dataValidation sqref="D5:D24" showDropDown="0" showInputMessage="0" showErrorMessage="0" allowBlank="1" type="list">
      <formula1>"Korea,Uzbekistan"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Pricing</t>
        </is>
      </c>
    </row>
    <row r="2">
      <c r="A2" s="2" t="inlineStr">
        <is>
          <t>Pick a lot for each channel and set the margin you want, or type your own price. Green rows are the answers.</t>
        </is>
      </c>
    </row>
    <row r="4">
      <c r="A4" s="25" t="inlineStr">
        <is>
          <t>Exchange rates</t>
        </is>
      </c>
      <c r="B4" s="26" t="n"/>
      <c r="C4" s="26" t="n"/>
      <c r="D4" s="26" t="n"/>
      <c r="E4" s="26" t="n"/>
    </row>
    <row r="5">
      <c r="A5" s="27" t="inlineStr">
        <is>
          <t>KRW per 1 USD</t>
        </is>
      </c>
      <c r="B5" s="28" t="n">
        <v>1327</v>
      </c>
      <c r="C5" s="2" t="inlineStr">
        <is>
          <t>Your rates from the original sheet. Update them when they change.</t>
        </is>
      </c>
    </row>
    <row r="6">
      <c r="A6" s="27" t="inlineStr">
        <is>
          <t>UZS per 1 USD</t>
        </is>
      </c>
      <c r="B6" s="28" t="n">
        <v>12040</v>
      </c>
    </row>
    <row r="7">
      <c r="A7" s="27" t="inlineStr">
        <is>
          <t>KRW per 1 UZS</t>
        </is>
      </c>
      <c r="B7" s="29">
        <f>B5/B6</f>
        <v/>
      </c>
    </row>
    <row r="9" ht="42" customHeight="1">
      <c r="A9" s="5" t="inlineStr"/>
      <c r="B9" s="5" t="inlineStr">
        <is>
          <t>Uzbekistan B2B</t>
        </is>
      </c>
      <c r="C9" s="5" t="inlineStr">
        <is>
          <t>Uzbekistan B2C</t>
        </is>
      </c>
      <c r="D9" s="5" t="inlineStr">
        <is>
          <t>Korea B2B</t>
        </is>
      </c>
      <c r="E9" s="5" t="inlineStr">
        <is>
          <t>Korea B2C</t>
        </is>
      </c>
    </row>
    <row r="10">
      <c r="A10" s="25" t="inlineStr">
        <is>
          <t>Your choices</t>
        </is>
      </c>
      <c r="B10" s="26" t="n"/>
      <c r="C10" s="26" t="n"/>
      <c r="D10" s="26" t="n"/>
      <c r="E10" s="26" t="n"/>
    </row>
    <row r="11">
      <c r="A11" s="27" t="inlineStr">
        <is>
          <t>Lot you are selling from</t>
        </is>
      </c>
      <c r="B11" s="7" t="inlineStr">
        <is>
          <t>B1-UZ1</t>
        </is>
      </c>
      <c r="C11" s="7" t="inlineStr">
        <is>
          <t>B1-UZ1</t>
        </is>
      </c>
      <c r="D11" s="7" t="inlineStr">
        <is>
          <t>B1-KR</t>
        </is>
      </c>
      <c r="E11" s="7" t="inlineStr">
        <is>
          <t>B1-KR</t>
        </is>
      </c>
    </row>
    <row r="12">
      <c r="A12" s="27" t="inlineStr">
        <is>
          <t>Currency you sell in</t>
        </is>
      </c>
      <c r="B12" s="7" t="inlineStr">
        <is>
          <t>UZS</t>
        </is>
      </c>
      <c r="C12" s="7" t="inlineStr">
        <is>
          <t>UZS</t>
        </is>
      </c>
      <c r="D12" s="7" t="inlineStr">
        <is>
          <t>KRW</t>
        </is>
      </c>
      <c r="E12" s="7" t="inlineStr">
        <is>
          <t>KRW</t>
        </is>
      </c>
    </row>
    <row r="13">
      <c r="A13" s="27" t="inlineStr">
        <is>
          <t>VAT</t>
        </is>
      </c>
      <c r="B13" s="30" t="n">
        <v>0.12</v>
      </c>
      <c r="C13" s="30" t="n">
        <v>0.12</v>
      </c>
      <c r="D13" s="30" t="n">
        <v>0.1</v>
      </c>
      <c r="E13" s="30" t="n">
        <v>0.1</v>
      </c>
    </row>
    <row r="14">
      <c r="A14" s="27" t="inlineStr">
        <is>
          <t>Marketplace and payment fees (% of price with VAT)</t>
        </is>
      </c>
      <c r="B14" s="30" t="n">
        <v>0</v>
      </c>
      <c r="C14" s="31" t="n">
        <v>0</v>
      </c>
      <c r="D14" s="30" t="n">
        <v>0</v>
      </c>
      <c r="E14" s="31" t="n">
        <v>0</v>
      </c>
    </row>
    <row r="15">
      <c r="A15" s="27" t="inlineStr">
        <is>
          <t>Delivery and packaging per unit (KRW)</t>
        </is>
      </c>
      <c r="B15" s="8" t="n">
        <v>0</v>
      </c>
      <c r="C15" s="22" t="n">
        <v>0</v>
      </c>
      <c r="D15" s="8" t="n">
        <v>0</v>
      </c>
      <c r="E15" s="22" t="n">
        <v>0</v>
      </c>
    </row>
    <row r="16">
      <c r="A16" s="27" t="inlineStr">
        <is>
          <t>Margin you want</t>
        </is>
      </c>
      <c r="B16" s="31" t="n">
        <v>0.35</v>
      </c>
      <c r="C16" s="31" t="n">
        <v>0.6</v>
      </c>
      <c r="D16" s="31" t="n">
        <v>0.3</v>
      </c>
      <c r="E16" s="31" t="n">
        <v>0.5</v>
      </c>
    </row>
    <row r="17">
      <c r="A17" s="27" t="inlineStr">
        <is>
          <t>Or: your own price with VAT (in the selling currency)</t>
        </is>
      </c>
      <c r="B17" s="9" t="n"/>
      <c r="C17" s="9" t="n"/>
      <c r="D17" s="9" t="n"/>
      <c r="E17" s="9" t="n"/>
    </row>
    <row r="19">
      <c r="A19" s="25" t="inlineStr">
        <is>
          <t>Results</t>
        </is>
      </c>
      <c r="B19" s="26" t="n"/>
      <c r="C19" s="26" t="n"/>
      <c r="D19" s="26" t="n"/>
      <c r="E19" s="26" t="n"/>
    </row>
    <row r="20">
      <c r="A20" s="27" t="inlineStr">
        <is>
          <t>KRW per 1 unit of selling currency (helper)</t>
        </is>
      </c>
      <c r="B20" s="29">
        <f>IF(B12="UZS",$B$7,IF(B12="USD",$B$5,1))</f>
        <v/>
      </c>
      <c r="C20" s="29">
        <f>IF(C12="UZS",$B$7,IF(C12="USD",$B$5,1))</f>
        <v/>
      </c>
      <c r="D20" s="29">
        <f>IF(D12="UZS",$B$7,IF(D12="USD",$B$5,1))</f>
        <v/>
      </c>
      <c r="E20" s="29">
        <f>IF(E12="UZS",$B$7,IF(E12="USD",$B$5,1))</f>
        <v/>
      </c>
    </row>
    <row r="21">
      <c r="A21" s="27" t="inlineStr">
        <is>
          <t>Landed cost per unit (KRW)</t>
        </is>
      </c>
      <c r="B21" s="32">
        <f>IFERROR(VLOOKUP(B11,Lots!$A$5:$P$24,16,FALSE),NA())</f>
        <v/>
      </c>
      <c r="C21" s="32">
        <f>IFERROR(VLOOKUP(C11,Lots!$A$5:$P$24,16,FALSE),NA())</f>
        <v/>
      </c>
      <c r="D21" s="32">
        <f>IFERROR(VLOOKUP(D11,Lots!$A$5:$P$24,16,FALSE),NA())</f>
        <v/>
      </c>
      <c r="E21" s="32">
        <f>IFERROR(VLOOKUP(E11,Lots!$A$5:$P$24,16,FALSE),NA())</f>
        <v/>
      </c>
    </row>
    <row r="22">
      <c r="A22" s="27" t="inlineStr">
        <is>
          <t>Price before VAT (KRW)</t>
        </is>
      </c>
      <c r="B22" s="10">
        <f>IF(B17&lt;&gt;"",B17*B20/(1+B13),IF(1-B14*(1+B13)-B16&lt;=0,NA(),(B21+B15)/(1-B14*(1+B13)-B16)))</f>
        <v/>
      </c>
      <c r="C22" s="10">
        <f>IF(C17&lt;&gt;"",C17*C20/(1+C13),IF(1-C14*(1+C13)-C16&lt;=0,NA(),(C21+C15)/(1-C14*(1+C13)-C16)))</f>
        <v/>
      </c>
      <c r="D22" s="10">
        <f>IF(D17&lt;&gt;"",D17*D20/(1+D13),IF(1-D14*(1+D13)-D16&lt;=0,NA(),(D21+D15)/(1-D14*(1+D13)-D16)))</f>
        <v/>
      </c>
      <c r="E22" s="10">
        <f>IF(E17&lt;&gt;"",E17*E20/(1+E13),IF(1-E14*(1+E13)-E16&lt;=0,NA(),(E21+E15)/(1-E14*(1+E13)-E16)))</f>
        <v/>
      </c>
    </row>
    <row r="23">
      <c r="A23" s="27" t="inlineStr">
        <is>
          <t>Price with VAT (KRW)</t>
        </is>
      </c>
      <c r="B23" s="10">
        <f>B22*(1+B13)</f>
        <v/>
      </c>
      <c r="C23" s="10">
        <f>C22*(1+C13)</f>
        <v/>
      </c>
      <c r="D23" s="10">
        <f>D22*(1+D13)</f>
        <v/>
      </c>
      <c r="E23" s="10">
        <f>E22*(1+E13)</f>
        <v/>
      </c>
    </row>
    <row r="24">
      <c r="A24" s="3" t="inlineStr">
        <is>
          <t>PRICE TO CHARGE, with VAT (selling currency)</t>
        </is>
      </c>
      <c r="B24" s="33">
        <f>B23/B20</f>
        <v/>
      </c>
      <c r="C24" s="33">
        <f>C23/C20</f>
        <v/>
      </c>
      <c r="D24" s="33">
        <f>D23/D20</f>
        <v/>
      </c>
      <c r="E24" s="33">
        <f>E23/E20</f>
        <v/>
      </c>
    </row>
    <row r="25">
      <c r="A25" s="27" t="inlineStr">
        <is>
          <t>Price with VAT (USD)</t>
        </is>
      </c>
      <c r="B25" s="12">
        <f>B23/$B$5</f>
        <v/>
      </c>
      <c r="C25" s="12">
        <f>C23/$B$5</f>
        <v/>
      </c>
      <c r="D25" s="12">
        <f>D23/$B$5</f>
        <v/>
      </c>
      <c r="E25" s="12">
        <f>E23/$B$5</f>
        <v/>
      </c>
    </row>
    <row r="26">
      <c r="A26" s="27" t="inlineStr">
        <is>
          <t>Fees per unit (KRW)</t>
        </is>
      </c>
      <c r="B26" s="10">
        <f>B23*B14</f>
        <v/>
      </c>
      <c r="C26" s="10">
        <f>C23*C14</f>
        <v/>
      </c>
      <c r="D26" s="10">
        <f>D23*D14</f>
        <v/>
      </c>
      <c r="E26" s="10">
        <f>E23*E14</f>
        <v/>
      </c>
    </row>
    <row r="27">
      <c r="A27" s="3" t="inlineStr">
        <is>
          <t>PROFIT PER UNIT (KRW)</t>
        </is>
      </c>
      <c r="B27" s="11">
        <f>B22-B26-B15-B21</f>
        <v/>
      </c>
      <c r="C27" s="11">
        <f>C22-C26-C15-C21</f>
        <v/>
      </c>
      <c r="D27" s="11">
        <f>D22-D26-D15-D21</f>
        <v/>
      </c>
      <c r="E27" s="11">
        <f>E22-E26-E15-E21</f>
        <v/>
      </c>
    </row>
    <row r="28">
      <c r="A28" s="27" t="inlineStr">
        <is>
          <t>Profit per unit (selling currency)</t>
        </is>
      </c>
      <c r="B28" s="18">
        <f>B27/B20</f>
        <v/>
      </c>
      <c r="C28" s="18">
        <f>C27/C20</f>
        <v/>
      </c>
      <c r="D28" s="18">
        <f>D27/D20</f>
        <v/>
      </c>
      <c r="E28" s="18">
        <f>E27/E20</f>
        <v/>
      </c>
    </row>
    <row r="29">
      <c r="A29" s="3" t="inlineStr">
        <is>
          <t>MARGIN (profit / price before VAT)</t>
        </is>
      </c>
      <c r="B29" s="34">
        <f>IF(B22=0,0,B27/B22)</f>
        <v/>
      </c>
      <c r="C29" s="34">
        <f>IF(C22=0,0,C27/C22)</f>
        <v/>
      </c>
      <c r="D29" s="34">
        <f>IF(D22=0,0,D27/D22)</f>
        <v/>
      </c>
      <c r="E29" s="34">
        <f>IF(E22=0,0,E27/E22)</f>
        <v/>
      </c>
    </row>
    <row r="30">
      <c r="A30" s="27" t="inlineStr">
        <is>
          <t>Units left in this lot</t>
        </is>
      </c>
      <c r="B30" s="35">
        <f>IFERROR(VLOOKUP(B11,Lots!$A$5:$R$24,18,FALSE),0)</f>
        <v/>
      </c>
      <c r="C30" s="35">
        <f>IFERROR(VLOOKUP(C11,Lots!$A$5:$R$24,18,FALSE),0)</f>
        <v/>
      </c>
      <c r="D30" s="35">
        <f>IFERROR(VLOOKUP(D11,Lots!$A$5:$R$24,18,FALSE),0)</f>
        <v/>
      </c>
      <c r="E30" s="35">
        <f>IFERROR(VLOOKUP(E11,Lots!$A$5:$R$24,18,FALSE),0)</f>
        <v/>
      </c>
    </row>
    <row r="31">
      <c r="A31" s="27" t="inlineStr">
        <is>
          <t>Profit if all units left sell at this price (KRW)</t>
        </is>
      </c>
      <c r="B31" s="10">
        <f>B27*B30</f>
        <v/>
      </c>
      <c r="C31" s="10">
        <f>C27*C30</f>
        <v/>
      </c>
      <c r="D31" s="10">
        <f>D27*D30</f>
        <v/>
      </c>
      <c r="E31" s="10">
        <f>E27*E30</f>
        <v/>
      </c>
    </row>
  </sheetData>
  <dataValidations count="2">
    <dataValidation sqref="B11:E11" showDropDown="0" showInputMessage="0" showErrorMessage="0" allowBlank="1" type="list">
      <formula1>=Lots!$A$5:$A$24</formula1>
    </dataValidation>
    <dataValidation sqref="B12:E12" showDropDown="0" showInputMessage="0" showErrorMessage="0" allowBlank="1" type="list">
      <formula1>"UZS,KRW,USD"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7" customWidth="1" min="4" max="4"/>
    <col width="12" customWidth="1" min="5" max="5"/>
    <col width="9" customWidth="1" min="6" max="6"/>
    <col width="11" customWidth="1" min="7" max="7"/>
    <col width="11" customWidth="1" min="8" max="8"/>
    <col width="7" customWidth="1" min="9" max="9"/>
    <col width="14" customWidth="1" min="10" max="10"/>
    <col width="14" customWidth="1" min="11" max="11"/>
    <col width="14" customWidth="1" min="12" max="12"/>
    <col width="13" customWidth="1" min="13" max="13"/>
    <col width="8" customWidth="1" min="14" max="14"/>
    <col width="8" customWidth="1" min="15" max="15"/>
  </cols>
  <sheetData>
    <row r="1">
      <c r="A1" s="1" t="inlineStr">
        <is>
          <t>Sales</t>
        </is>
      </c>
    </row>
    <row r="2">
      <c r="A2" s="2" t="inlineStr">
        <is>
          <t>Type the blue columns. Profit uses the landed cost of the lot you sold from.</t>
        </is>
      </c>
    </row>
    <row r="4" ht="42" customHeight="1">
      <c r="A4" s="5" t="inlineStr">
        <is>
          <t>Date</t>
        </is>
      </c>
      <c r="B4" s="5" t="inlineStr">
        <is>
          <t>Lot</t>
        </is>
      </c>
      <c r="C4" s="5" t="inlineStr">
        <is>
          <t>Channel</t>
        </is>
      </c>
      <c r="D4" s="5" t="inlineStr">
        <is>
          <t>Units</t>
        </is>
      </c>
      <c r="E4" s="5" t="inlineStr">
        <is>
          <t>Price per unit with VAT</t>
        </is>
      </c>
      <c r="F4" s="5" t="inlineStr">
        <is>
          <t>Currency</t>
        </is>
      </c>
      <c r="G4" s="5" t="inlineStr">
        <is>
          <t>Fees (KRW, optional)</t>
        </is>
      </c>
      <c r="H4" s="5" t="inlineStr">
        <is>
          <t>KRW per unit of currency</t>
        </is>
      </c>
      <c r="I4" s="5" t="inlineStr">
        <is>
          <t>VAT</t>
        </is>
      </c>
      <c r="J4" s="5" t="inlineStr">
        <is>
          <t>Revenue with VAT (KRW)</t>
        </is>
      </c>
      <c r="K4" s="5" t="inlineStr">
        <is>
          <t>Revenue before VAT (KRW)</t>
        </is>
      </c>
      <c r="L4" s="5" t="inlineStr">
        <is>
          <t>Cost of goods (KRW)</t>
        </is>
      </c>
      <c r="M4" s="5" t="inlineStr">
        <is>
          <t>Profit (KRW)</t>
        </is>
      </c>
      <c r="N4" s="5" t="inlineStr">
        <is>
          <t>Margin</t>
        </is>
      </c>
      <c r="O4" s="5" t="inlineStr">
        <is>
          <t>Month</t>
        </is>
      </c>
    </row>
    <row r="5">
      <c r="A5" s="14" t="n"/>
      <c r="B5" s="15" t="n"/>
      <c r="C5" s="15" t="n"/>
      <c r="D5" s="15" t="n"/>
      <c r="E5" s="36" t="n"/>
      <c r="F5" s="15" t="n"/>
      <c r="G5" s="16" t="n"/>
      <c r="H5" s="29">
        <f>IF($F5="","",IF($F5="UZS",Pricing!$B$7,IF($F5="USD",Pricing!$B$5,1)))</f>
        <v/>
      </c>
      <c r="I5" s="37">
        <f>IF($C5="","",INDEX(Pricing!$B$13:$E$13,MATCH($C5,Pricing!$B$9:$E$9,0)))</f>
        <v/>
      </c>
      <c r="J5" s="10">
        <f>IF($H5="","",$D5*$E5*$H5)</f>
        <v/>
      </c>
      <c r="K5" s="10">
        <f>IF(OR($J5="",$I5=""),"",$J5/(1+$I5))</f>
        <v/>
      </c>
      <c r="L5" s="10">
        <f>IF($B5="","",$D5*IFERROR(VLOOKUP($B5,Lots!$A$5:$P$24,16,FALSE),0))</f>
        <v/>
      </c>
      <c r="M5" s="10">
        <f>IF($K5="","",$K5-N($G5)-$L5)</f>
        <v/>
      </c>
      <c r="N5" s="37">
        <f>IF(N($K5)=0,"",$M5/$K5)</f>
        <v/>
      </c>
      <c r="O5" s="27">
        <f>IF($A5="","",TEXT($A5,"yyyy-mm"))</f>
        <v/>
      </c>
    </row>
    <row r="6">
      <c r="A6" s="14" t="n"/>
      <c r="B6" s="15" t="n"/>
      <c r="C6" s="15" t="n"/>
      <c r="D6" s="15" t="n"/>
      <c r="E6" s="36" t="n"/>
      <c r="F6" s="15" t="n"/>
      <c r="G6" s="16" t="n"/>
      <c r="H6" s="29">
        <f>IF($F6="","",IF($F6="UZS",Pricing!$B$7,IF($F6="USD",Pricing!$B$5,1)))</f>
        <v/>
      </c>
      <c r="I6" s="37">
        <f>IF($C6="","",INDEX(Pricing!$B$13:$E$13,MATCH($C6,Pricing!$B$9:$E$9,0)))</f>
        <v/>
      </c>
      <c r="J6" s="10">
        <f>IF($H6="","",$D6*$E6*$H6)</f>
        <v/>
      </c>
      <c r="K6" s="10">
        <f>IF(OR($J6="",$I6=""),"",$J6/(1+$I6))</f>
        <v/>
      </c>
      <c r="L6" s="10">
        <f>IF($B6="","",$D6*IFERROR(VLOOKUP($B6,Lots!$A$5:$P$24,16,FALSE),0))</f>
        <v/>
      </c>
      <c r="M6" s="10">
        <f>IF($K6="","",$K6-N($G6)-$L6)</f>
        <v/>
      </c>
      <c r="N6" s="37">
        <f>IF(N($K6)=0,"",$M6/$K6)</f>
        <v/>
      </c>
      <c r="O6" s="27">
        <f>IF($A6="","",TEXT($A6,"yyyy-mm"))</f>
        <v/>
      </c>
    </row>
    <row r="7">
      <c r="A7" s="14" t="n"/>
      <c r="B7" s="15" t="n"/>
      <c r="C7" s="15" t="n"/>
      <c r="D7" s="15" t="n"/>
      <c r="E7" s="36" t="n"/>
      <c r="F7" s="15" t="n"/>
      <c r="G7" s="16" t="n"/>
      <c r="H7" s="29">
        <f>IF($F7="","",IF($F7="UZS",Pricing!$B$7,IF($F7="USD",Pricing!$B$5,1)))</f>
        <v/>
      </c>
      <c r="I7" s="37">
        <f>IF($C7="","",INDEX(Pricing!$B$13:$E$13,MATCH($C7,Pricing!$B$9:$E$9,0)))</f>
        <v/>
      </c>
      <c r="J7" s="10">
        <f>IF($H7="","",$D7*$E7*$H7)</f>
        <v/>
      </c>
      <c r="K7" s="10">
        <f>IF(OR($J7="",$I7=""),"",$J7/(1+$I7))</f>
        <v/>
      </c>
      <c r="L7" s="10">
        <f>IF($B7="","",$D7*IFERROR(VLOOKUP($B7,Lots!$A$5:$P$24,16,FALSE),0))</f>
        <v/>
      </c>
      <c r="M7" s="10">
        <f>IF($K7="","",$K7-N($G7)-$L7)</f>
        <v/>
      </c>
      <c r="N7" s="37">
        <f>IF(N($K7)=0,"",$M7/$K7)</f>
        <v/>
      </c>
      <c r="O7" s="27">
        <f>IF($A7="","",TEXT($A7,"yyyy-mm"))</f>
        <v/>
      </c>
    </row>
    <row r="8">
      <c r="A8" s="14" t="n"/>
      <c r="B8" s="15" t="n"/>
      <c r="C8" s="15" t="n"/>
      <c r="D8" s="15" t="n"/>
      <c r="E8" s="36" t="n"/>
      <c r="F8" s="15" t="n"/>
      <c r="G8" s="16" t="n"/>
      <c r="H8" s="29">
        <f>IF($F8="","",IF($F8="UZS",Pricing!$B$7,IF($F8="USD",Pricing!$B$5,1)))</f>
        <v/>
      </c>
      <c r="I8" s="37">
        <f>IF($C8="","",INDEX(Pricing!$B$13:$E$13,MATCH($C8,Pricing!$B$9:$E$9,0)))</f>
        <v/>
      </c>
      <c r="J8" s="10">
        <f>IF($H8="","",$D8*$E8*$H8)</f>
        <v/>
      </c>
      <c r="K8" s="10">
        <f>IF(OR($J8="",$I8=""),"",$J8/(1+$I8))</f>
        <v/>
      </c>
      <c r="L8" s="10">
        <f>IF($B8="","",$D8*IFERROR(VLOOKUP($B8,Lots!$A$5:$P$24,16,FALSE),0))</f>
        <v/>
      </c>
      <c r="M8" s="10">
        <f>IF($K8="","",$K8-N($G8)-$L8)</f>
        <v/>
      </c>
      <c r="N8" s="37">
        <f>IF(N($K8)=0,"",$M8/$K8)</f>
        <v/>
      </c>
      <c r="O8" s="27">
        <f>IF($A8="","",TEXT($A8,"yyyy-mm"))</f>
        <v/>
      </c>
    </row>
    <row r="9">
      <c r="A9" s="14" t="n"/>
      <c r="B9" s="15" t="n"/>
      <c r="C9" s="15" t="n"/>
      <c r="D9" s="15" t="n"/>
      <c r="E9" s="36" t="n"/>
      <c r="F9" s="15" t="n"/>
      <c r="G9" s="16" t="n"/>
      <c r="H9" s="29">
        <f>IF($F9="","",IF($F9="UZS",Pricing!$B$7,IF($F9="USD",Pricing!$B$5,1)))</f>
        <v/>
      </c>
      <c r="I9" s="37">
        <f>IF($C9="","",INDEX(Pricing!$B$13:$E$13,MATCH($C9,Pricing!$B$9:$E$9,0)))</f>
        <v/>
      </c>
      <c r="J9" s="10">
        <f>IF($H9="","",$D9*$E9*$H9)</f>
        <v/>
      </c>
      <c r="K9" s="10">
        <f>IF(OR($J9="",$I9=""),"",$J9/(1+$I9))</f>
        <v/>
      </c>
      <c r="L9" s="10">
        <f>IF($B9="","",$D9*IFERROR(VLOOKUP($B9,Lots!$A$5:$P$24,16,FALSE),0))</f>
        <v/>
      </c>
      <c r="M9" s="10">
        <f>IF($K9="","",$K9-N($G9)-$L9)</f>
        <v/>
      </c>
      <c r="N9" s="37">
        <f>IF(N($K9)=0,"",$M9/$K9)</f>
        <v/>
      </c>
      <c r="O9" s="27">
        <f>IF($A9="","",TEXT($A9,"yyyy-mm"))</f>
        <v/>
      </c>
    </row>
    <row r="10">
      <c r="A10" s="14" t="n"/>
      <c r="B10" s="15" t="n"/>
      <c r="C10" s="15" t="n"/>
      <c r="D10" s="15" t="n"/>
      <c r="E10" s="36" t="n"/>
      <c r="F10" s="15" t="n"/>
      <c r="G10" s="16" t="n"/>
      <c r="H10" s="29">
        <f>IF($F10="","",IF($F10="UZS",Pricing!$B$7,IF($F10="USD",Pricing!$B$5,1)))</f>
        <v/>
      </c>
      <c r="I10" s="37">
        <f>IF($C10="","",INDEX(Pricing!$B$13:$E$13,MATCH($C10,Pricing!$B$9:$E$9,0)))</f>
        <v/>
      </c>
      <c r="J10" s="10">
        <f>IF($H10="","",$D10*$E10*$H10)</f>
        <v/>
      </c>
      <c r="K10" s="10">
        <f>IF(OR($J10="",$I10=""),"",$J10/(1+$I10))</f>
        <v/>
      </c>
      <c r="L10" s="10">
        <f>IF($B10="","",$D10*IFERROR(VLOOKUP($B10,Lots!$A$5:$P$24,16,FALSE),0))</f>
        <v/>
      </c>
      <c r="M10" s="10">
        <f>IF($K10="","",$K10-N($G10)-$L10)</f>
        <v/>
      </c>
      <c r="N10" s="37">
        <f>IF(N($K10)=0,"",$M10/$K10)</f>
        <v/>
      </c>
      <c r="O10" s="27">
        <f>IF($A10="","",TEXT($A10,"yyyy-mm"))</f>
        <v/>
      </c>
    </row>
    <row r="11">
      <c r="A11" s="14" t="n"/>
      <c r="B11" s="15" t="n"/>
      <c r="C11" s="15" t="n"/>
      <c r="D11" s="15" t="n"/>
      <c r="E11" s="36" t="n"/>
      <c r="F11" s="15" t="n"/>
      <c r="G11" s="16" t="n"/>
      <c r="H11" s="29">
        <f>IF($F11="","",IF($F11="UZS",Pricing!$B$7,IF($F11="USD",Pricing!$B$5,1)))</f>
        <v/>
      </c>
      <c r="I11" s="37">
        <f>IF($C11="","",INDEX(Pricing!$B$13:$E$13,MATCH($C11,Pricing!$B$9:$E$9,0)))</f>
        <v/>
      </c>
      <c r="J11" s="10">
        <f>IF($H11="","",$D11*$E11*$H11)</f>
        <v/>
      </c>
      <c r="K11" s="10">
        <f>IF(OR($J11="",$I11=""),"",$J11/(1+$I11))</f>
        <v/>
      </c>
      <c r="L11" s="10">
        <f>IF($B11="","",$D11*IFERROR(VLOOKUP($B11,Lots!$A$5:$P$24,16,FALSE),0))</f>
        <v/>
      </c>
      <c r="M11" s="10">
        <f>IF($K11="","",$K11-N($G11)-$L11)</f>
        <v/>
      </c>
      <c r="N11" s="37">
        <f>IF(N($K11)=0,"",$M11/$K11)</f>
        <v/>
      </c>
      <c r="O11" s="27">
        <f>IF($A11="","",TEXT($A11,"yyyy-mm"))</f>
        <v/>
      </c>
    </row>
    <row r="12">
      <c r="A12" s="14" t="n"/>
      <c r="B12" s="15" t="n"/>
      <c r="C12" s="15" t="n"/>
      <c r="D12" s="15" t="n"/>
      <c r="E12" s="36" t="n"/>
      <c r="F12" s="15" t="n"/>
      <c r="G12" s="16" t="n"/>
      <c r="H12" s="29">
        <f>IF($F12="","",IF($F12="UZS",Pricing!$B$7,IF($F12="USD",Pricing!$B$5,1)))</f>
        <v/>
      </c>
      <c r="I12" s="37">
        <f>IF($C12="","",INDEX(Pricing!$B$13:$E$13,MATCH($C12,Pricing!$B$9:$E$9,0)))</f>
        <v/>
      </c>
      <c r="J12" s="10">
        <f>IF($H12="","",$D12*$E12*$H12)</f>
        <v/>
      </c>
      <c r="K12" s="10">
        <f>IF(OR($J12="",$I12=""),"",$J12/(1+$I12))</f>
        <v/>
      </c>
      <c r="L12" s="10">
        <f>IF($B12="","",$D12*IFERROR(VLOOKUP($B12,Lots!$A$5:$P$24,16,FALSE),0))</f>
        <v/>
      </c>
      <c r="M12" s="10">
        <f>IF($K12="","",$K12-N($G12)-$L12)</f>
        <v/>
      </c>
      <c r="N12" s="37">
        <f>IF(N($K12)=0,"",$M12/$K12)</f>
        <v/>
      </c>
      <c r="O12" s="27">
        <f>IF($A12="","",TEXT($A12,"yyyy-mm"))</f>
        <v/>
      </c>
    </row>
    <row r="13">
      <c r="A13" s="14" t="n"/>
      <c r="B13" s="15" t="n"/>
      <c r="C13" s="15" t="n"/>
      <c r="D13" s="15" t="n"/>
      <c r="E13" s="36" t="n"/>
      <c r="F13" s="15" t="n"/>
      <c r="G13" s="16" t="n"/>
      <c r="H13" s="29">
        <f>IF($F13="","",IF($F13="UZS",Pricing!$B$7,IF($F13="USD",Pricing!$B$5,1)))</f>
        <v/>
      </c>
      <c r="I13" s="37">
        <f>IF($C13="","",INDEX(Pricing!$B$13:$E$13,MATCH($C13,Pricing!$B$9:$E$9,0)))</f>
        <v/>
      </c>
      <c r="J13" s="10">
        <f>IF($H13="","",$D13*$E13*$H13)</f>
        <v/>
      </c>
      <c r="K13" s="10">
        <f>IF(OR($J13="",$I13=""),"",$J13/(1+$I13))</f>
        <v/>
      </c>
      <c r="L13" s="10">
        <f>IF($B13="","",$D13*IFERROR(VLOOKUP($B13,Lots!$A$5:$P$24,16,FALSE),0))</f>
        <v/>
      </c>
      <c r="M13" s="10">
        <f>IF($K13="","",$K13-N($G13)-$L13)</f>
        <v/>
      </c>
      <c r="N13" s="37">
        <f>IF(N($K13)=0,"",$M13/$K13)</f>
        <v/>
      </c>
      <c r="O13" s="27">
        <f>IF($A13="","",TEXT($A13,"yyyy-mm"))</f>
        <v/>
      </c>
    </row>
    <row r="14">
      <c r="A14" s="14" t="n"/>
      <c r="B14" s="15" t="n"/>
      <c r="C14" s="15" t="n"/>
      <c r="D14" s="15" t="n"/>
      <c r="E14" s="36" t="n"/>
      <c r="F14" s="15" t="n"/>
      <c r="G14" s="16" t="n"/>
      <c r="H14" s="29">
        <f>IF($F14="","",IF($F14="UZS",Pricing!$B$7,IF($F14="USD",Pricing!$B$5,1)))</f>
        <v/>
      </c>
      <c r="I14" s="37">
        <f>IF($C14="","",INDEX(Pricing!$B$13:$E$13,MATCH($C14,Pricing!$B$9:$E$9,0)))</f>
        <v/>
      </c>
      <c r="J14" s="10">
        <f>IF($H14="","",$D14*$E14*$H14)</f>
        <v/>
      </c>
      <c r="K14" s="10">
        <f>IF(OR($J14="",$I14=""),"",$J14/(1+$I14))</f>
        <v/>
      </c>
      <c r="L14" s="10">
        <f>IF($B14="","",$D14*IFERROR(VLOOKUP($B14,Lots!$A$5:$P$24,16,FALSE),0))</f>
        <v/>
      </c>
      <c r="M14" s="10">
        <f>IF($K14="","",$K14-N($G14)-$L14)</f>
        <v/>
      </c>
      <c r="N14" s="37">
        <f>IF(N($K14)=0,"",$M14/$K14)</f>
        <v/>
      </c>
      <c r="O14" s="27">
        <f>IF($A14="","",TEXT($A14,"yyyy-mm"))</f>
        <v/>
      </c>
    </row>
    <row r="15">
      <c r="A15" s="14" t="n"/>
      <c r="B15" s="15" t="n"/>
      <c r="C15" s="15" t="n"/>
      <c r="D15" s="15" t="n"/>
      <c r="E15" s="36" t="n"/>
      <c r="F15" s="15" t="n"/>
      <c r="G15" s="16" t="n"/>
      <c r="H15" s="29">
        <f>IF($F15="","",IF($F15="UZS",Pricing!$B$7,IF($F15="USD",Pricing!$B$5,1)))</f>
        <v/>
      </c>
      <c r="I15" s="37">
        <f>IF($C15="","",INDEX(Pricing!$B$13:$E$13,MATCH($C15,Pricing!$B$9:$E$9,0)))</f>
        <v/>
      </c>
      <c r="J15" s="10">
        <f>IF($H15="","",$D15*$E15*$H15)</f>
        <v/>
      </c>
      <c r="K15" s="10">
        <f>IF(OR($J15="",$I15=""),"",$J15/(1+$I15))</f>
        <v/>
      </c>
      <c r="L15" s="10">
        <f>IF($B15="","",$D15*IFERROR(VLOOKUP($B15,Lots!$A$5:$P$24,16,FALSE),0))</f>
        <v/>
      </c>
      <c r="M15" s="10">
        <f>IF($K15="","",$K15-N($G15)-$L15)</f>
        <v/>
      </c>
      <c r="N15" s="37">
        <f>IF(N($K15)=0,"",$M15/$K15)</f>
        <v/>
      </c>
      <c r="O15" s="27">
        <f>IF($A15="","",TEXT($A15,"yyyy-mm"))</f>
        <v/>
      </c>
    </row>
    <row r="16">
      <c r="A16" s="14" t="n"/>
      <c r="B16" s="15" t="n"/>
      <c r="C16" s="15" t="n"/>
      <c r="D16" s="15" t="n"/>
      <c r="E16" s="36" t="n"/>
      <c r="F16" s="15" t="n"/>
      <c r="G16" s="16" t="n"/>
      <c r="H16" s="29">
        <f>IF($F16="","",IF($F16="UZS",Pricing!$B$7,IF($F16="USD",Pricing!$B$5,1)))</f>
        <v/>
      </c>
      <c r="I16" s="37">
        <f>IF($C16="","",INDEX(Pricing!$B$13:$E$13,MATCH($C16,Pricing!$B$9:$E$9,0)))</f>
        <v/>
      </c>
      <c r="J16" s="10">
        <f>IF($H16="","",$D16*$E16*$H16)</f>
        <v/>
      </c>
      <c r="K16" s="10">
        <f>IF(OR($J16="",$I16=""),"",$J16/(1+$I16))</f>
        <v/>
      </c>
      <c r="L16" s="10">
        <f>IF($B16="","",$D16*IFERROR(VLOOKUP($B16,Lots!$A$5:$P$24,16,FALSE),0))</f>
        <v/>
      </c>
      <c r="M16" s="10">
        <f>IF($K16="","",$K16-N($G16)-$L16)</f>
        <v/>
      </c>
      <c r="N16" s="37">
        <f>IF(N($K16)=0,"",$M16/$K16)</f>
        <v/>
      </c>
      <c r="O16" s="27">
        <f>IF($A16="","",TEXT($A16,"yyyy-mm"))</f>
        <v/>
      </c>
    </row>
    <row r="17">
      <c r="A17" s="14" t="n"/>
      <c r="B17" s="15" t="n"/>
      <c r="C17" s="15" t="n"/>
      <c r="D17" s="15" t="n"/>
      <c r="E17" s="36" t="n"/>
      <c r="F17" s="15" t="n"/>
      <c r="G17" s="16" t="n"/>
      <c r="H17" s="29">
        <f>IF($F17="","",IF($F17="UZS",Pricing!$B$7,IF($F17="USD",Pricing!$B$5,1)))</f>
        <v/>
      </c>
      <c r="I17" s="37">
        <f>IF($C17="","",INDEX(Pricing!$B$13:$E$13,MATCH($C17,Pricing!$B$9:$E$9,0)))</f>
        <v/>
      </c>
      <c r="J17" s="10">
        <f>IF($H17="","",$D17*$E17*$H17)</f>
        <v/>
      </c>
      <c r="K17" s="10">
        <f>IF(OR($J17="",$I17=""),"",$J17/(1+$I17))</f>
        <v/>
      </c>
      <c r="L17" s="10">
        <f>IF($B17="","",$D17*IFERROR(VLOOKUP($B17,Lots!$A$5:$P$24,16,FALSE),0))</f>
        <v/>
      </c>
      <c r="M17" s="10">
        <f>IF($K17="","",$K17-N($G17)-$L17)</f>
        <v/>
      </c>
      <c r="N17" s="37">
        <f>IF(N($K17)=0,"",$M17/$K17)</f>
        <v/>
      </c>
      <c r="O17" s="27">
        <f>IF($A17="","",TEXT($A17,"yyyy-mm"))</f>
        <v/>
      </c>
    </row>
    <row r="18">
      <c r="A18" s="14" t="n"/>
      <c r="B18" s="15" t="n"/>
      <c r="C18" s="15" t="n"/>
      <c r="D18" s="15" t="n"/>
      <c r="E18" s="36" t="n"/>
      <c r="F18" s="15" t="n"/>
      <c r="G18" s="16" t="n"/>
      <c r="H18" s="29">
        <f>IF($F18="","",IF($F18="UZS",Pricing!$B$7,IF($F18="USD",Pricing!$B$5,1)))</f>
        <v/>
      </c>
      <c r="I18" s="37">
        <f>IF($C18="","",INDEX(Pricing!$B$13:$E$13,MATCH($C18,Pricing!$B$9:$E$9,0)))</f>
        <v/>
      </c>
      <c r="J18" s="10">
        <f>IF($H18="","",$D18*$E18*$H18)</f>
        <v/>
      </c>
      <c r="K18" s="10">
        <f>IF(OR($J18="",$I18=""),"",$J18/(1+$I18))</f>
        <v/>
      </c>
      <c r="L18" s="10">
        <f>IF($B18="","",$D18*IFERROR(VLOOKUP($B18,Lots!$A$5:$P$24,16,FALSE),0))</f>
        <v/>
      </c>
      <c r="M18" s="10">
        <f>IF($K18="","",$K18-N($G18)-$L18)</f>
        <v/>
      </c>
      <c r="N18" s="37">
        <f>IF(N($K18)=0,"",$M18/$K18)</f>
        <v/>
      </c>
      <c r="O18" s="27">
        <f>IF($A18="","",TEXT($A18,"yyyy-mm"))</f>
        <v/>
      </c>
    </row>
    <row r="19">
      <c r="A19" s="14" t="n"/>
      <c r="B19" s="15" t="n"/>
      <c r="C19" s="15" t="n"/>
      <c r="D19" s="15" t="n"/>
      <c r="E19" s="36" t="n"/>
      <c r="F19" s="15" t="n"/>
      <c r="G19" s="16" t="n"/>
      <c r="H19" s="29">
        <f>IF($F19="","",IF($F19="UZS",Pricing!$B$7,IF($F19="USD",Pricing!$B$5,1)))</f>
        <v/>
      </c>
      <c r="I19" s="37">
        <f>IF($C19="","",INDEX(Pricing!$B$13:$E$13,MATCH($C19,Pricing!$B$9:$E$9,0)))</f>
        <v/>
      </c>
      <c r="J19" s="10">
        <f>IF($H19="","",$D19*$E19*$H19)</f>
        <v/>
      </c>
      <c r="K19" s="10">
        <f>IF(OR($J19="",$I19=""),"",$J19/(1+$I19))</f>
        <v/>
      </c>
      <c r="L19" s="10">
        <f>IF($B19="","",$D19*IFERROR(VLOOKUP($B19,Lots!$A$5:$P$24,16,FALSE),0))</f>
        <v/>
      </c>
      <c r="M19" s="10">
        <f>IF($K19="","",$K19-N($G19)-$L19)</f>
        <v/>
      </c>
      <c r="N19" s="37">
        <f>IF(N($K19)=0,"",$M19/$K19)</f>
        <v/>
      </c>
      <c r="O19" s="27">
        <f>IF($A19="","",TEXT($A19,"yyyy-mm"))</f>
        <v/>
      </c>
    </row>
    <row r="20">
      <c r="A20" s="14" t="n"/>
      <c r="B20" s="15" t="n"/>
      <c r="C20" s="15" t="n"/>
      <c r="D20" s="15" t="n"/>
      <c r="E20" s="36" t="n"/>
      <c r="F20" s="15" t="n"/>
      <c r="G20" s="16" t="n"/>
      <c r="H20" s="29">
        <f>IF($F20="","",IF($F20="UZS",Pricing!$B$7,IF($F20="USD",Pricing!$B$5,1)))</f>
        <v/>
      </c>
      <c r="I20" s="37">
        <f>IF($C20="","",INDEX(Pricing!$B$13:$E$13,MATCH($C20,Pricing!$B$9:$E$9,0)))</f>
        <v/>
      </c>
      <c r="J20" s="10">
        <f>IF($H20="","",$D20*$E20*$H20)</f>
        <v/>
      </c>
      <c r="K20" s="10">
        <f>IF(OR($J20="",$I20=""),"",$J20/(1+$I20))</f>
        <v/>
      </c>
      <c r="L20" s="10">
        <f>IF($B20="","",$D20*IFERROR(VLOOKUP($B20,Lots!$A$5:$P$24,16,FALSE),0))</f>
        <v/>
      </c>
      <c r="M20" s="10">
        <f>IF($K20="","",$K20-N($G20)-$L20)</f>
        <v/>
      </c>
      <c r="N20" s="37">
        <f>IF(N($K20)=0,"",$M20/$K20)</f>
        <v/>
      </c>
      <c r="O20" s="27">
        <f>IF($A20="","",TEXT($A20,"yyyy-mm"))</f>
        <v/>
      </c>
    </row>
    <row r="21">
      <c r="A21" s="14" t="n"/>
      <c r="B21" s="15" t="n"/>
      <c r="C21" s="15" t="n"/>
      <c r="D21" s="15" t="n"/>
      <c r="E21" s="36" t="n"/>
      <c r="F21" s="15" t="n"/>
      <c r="G21" s="16" t="n"/>
      <c r="H21" s="29">
        <f>IF($F21="","",IF($F21="UZS",Pricing!$B$7,IF($F21="USD",Pricing!$B$5,1)))</f>
        <v/>
      </c>
      <c r="I21" s="37">
        <f>IF($C21="","",INDEX(Pricing!$B$13:$E$13,MATCH($C21,Pricing!$B$9:$E$9,0)))</f>
        <v/>
      </c>
      <c r="J21" s="10">
        <f>IF($H21="","",$D21*$E21*$H21)</f>
        <v/>
      </c>
      <c r="K21" s="10">
        <f>IF(OR($J21="",$I21=""),"",$J21/(1+$I21))</f>
        <v/>
      </c>
      <c r="L21" s="10">
        <f>IF($B21="","",$D21*IFERROR(VLOOKUP($B21,Lots!$A$5:$P$24,16,FALSE),0))</f>
        <v/>
      </c>
      <c r="M21" s="10">
        <f>IF($K21="","",$K21-N($G21)-$L21)</f>
        <v/>
      </c>
      <c r="N21" s="37">
        <f>IF(N($K21)=0,"",$M21/$K21)</f>
        <v/>
      </c>
      <c r="O21" s="27">
        <f>IF($A21="","",TEXT($A21,"yyyy-mm"))</f>
        <v/>
      </c>
    </row>
    <row r="22">
      <c r="A22" s="14" t="n"/>
      <c r="B22" s="15" t="n"/>
      <c r="C22" s="15" t="n"/>
      <c r="D22" s="15" t="n"/>
      <c r="E22" s="36" t="n"/>
      <c r="F22" s="15" t="n"/>
      <c r="G22" s="16" t="n"/>
      <c r="H22" s="29">
        <f>IF($F22="","",IF($F22="UZS",Pricing!$B$7,IF($F22="USD",Pricing!$B$5,1)))</f>
        <v/>
      </c>
      <c r="I22" s="37">
        <f>IF($C22="","",INDEX(Pricing!$B$13:$E$13,MATCH($C22,Pricing!$B$9:$E$9,0)))</f>
        <v/>
      </c>
      <c r="J22" s="10">
        <f>IF($H22="","",$D22*$E22*$H22)</f>
        <v/>
      </c>
      <c r="K22" s="10">
        <f>IF(OR($J22="",$I22=""),"",$J22/(1+$I22))</f>
        <v/>
      </c>
      <c r="L22" s="10">
        <f>IF($B22="","",$D22*IFERROR(VLOOKUP($B22,Lots!$A$5:$P$24,16,FALSE),0))</f>
        <v/>
      </c>
      <c r="M22" s="10">
        <f>IF($K22="","",$K22-N($G22)-$L22)</f>
        <v/>
      </c>
      <c r="N22" s="37">
        <f>IF(N($K22)=0,"",$M22/$K22)</f>
        <v/>
      </c>
      <c r="O22" s="27">
        <f>IF($A22="","",TEXT($A22,"yyyy-mm"))</f>
        <v/>
      </c>
    </row>
    <row r="23">
      <c r="A23" s="14" t="n"/>
      <c r="B23" s="15" t="n"/>
      <c r="C23" s="15" t="n"/>
      <c r="D23" s="15" t="n"/>
      <c r="E23" s="36" t="n"/>
      <c r="F23" s="15" t="n"/>
      <c r="G23" s="16" t="n"/>
      <c r="H23" s="29">
        <f>IF($F23="","",IF($F23="UZS",Pricing!$B$7,IF($F23="USD",Pricing!$B$5,1)))</f>
        <v/>
      </c>
      <c r="I23" s="37">
        <f>IF($C23="","",INDEX(Pricing!$B$13:$E$13,MATCH($C23,Pricing!$B$9:$E$9,0)))</f>
        <v/>
      </c>
      <c r="J23" s="10">
        <f>IF($H23="","",$D23*$E23*$H23)</f>
        <v/>
      </c>
      <c r="K23" s="10">
        <f>IF(OR($J23="",$I23=""),"",$J23/(1+$I23))</f>
        <v/>
      </c>
      <c r="L23" s="10">
        <f>IF($B23="","",$D23*IFERROR(VLOOKUP($B23,Lots!$A$5:$P$24,16,FALSE),0))</f>
        <v/>
      </c>
      <c r="M23" s="10">
        <f>IF($K23="","",$K23-N($G23)-$L23)</f>
        <v/>
      </c>
      <c r="N23" s="37">
        <f>IF(N($K23)=0,"",$M23/$K23)</f>
        <v/>
      </c>
      <c r="O23" s="27">
        <f>IF($A23="","",TEXT($A23,"yyyy-mm"))</f>
        <v/>
      </c>
    </row>
    <row r="24">
      <c r="A24" s="14" t="n"/>
      <c r="B24" s="15" t="n"/>
      <c r="C24" s="15" t="n"/>
      <c r="D24" s="15" t="n"/>
      <c r="E24" s="36" t="n"/>
      <c r="F24" s="15" t="n"/>
      <c r="G24" s="16" t="n"/>
      <c r="H24" s="29">
        <f>IF($F24="","",IF($F24="UZS",Pricing!$B$7,IF($F24="USD",Pricing!$B$5,1)))</f>
        <v/>
      </c>
      <c r="I24" s="37">
        <f>IF($C24="","",INDEX(Pricing!$B$13:$E$13,MATCH($C24,Pricing!$B$9:$E$9,0)))</f>
        <v/>
      </c>
      <c r="J24" s="10">
        <f>IF($H24="","",$D24*$E24*$H24)</f>
        <v/>
      </c>
      <c r="K24" s="10">
        <f>IF(OR($J24="",$I24=""),"",$J24/(1+$I24))</f>
        <v/>
      </c>
      <c r="L24" s="10">
        <f>IF($B24="","",$D24*IFERROR(VLOOKUP($B24,Lots!$A$5:$P$24,16,FALSE),0))</f>
        <v/>
      </c>
      <c r="M24" s="10">
        <f>IF($K24="","",$K24-N($G24)-$L24)</f>
        <v/>
      </c>
      <c r="N24" s="37">
        <f>IF(N($K24)=0,"",$M24/$K24)</f>
        <v/>
      </c>
      <c r="O24" s="27">
        <f>IF($A24="","",TEXT($A24,"yyyy-mm"))</f>
        <v/>
      </c>
    </row>
    <row r="25">
      <c r="A25" s="14" t="n"/>
      <c r="B25" s="15" t="n"/>
      <c r="C25" s="15" t="n"/>
      <c r="D25" s="15" t="n"/>
      <c r="E25" s="36" t="n"/>
      <c r="F25" s="15" t="n"/>
      <c r="G25" s="16" t="n"/>
      <c r="H25" s="29">
        <f>IF($F25="","",IF($F25="UZS",Pricing!$B$7,IF($F25="USD",Pricing!$B$5,1)))</f>
        <v/>
      </c>
      <c r="I25" s="37">
        <f>IF($C25="","",INDEX(Pricing!$B$13:$E$13,MATCH($C25,Pricing!$B$9:$E$9,0)))</f>
        <v/>
      </c>
      <c r="J25" s="10">
        <f>IF($H25="","",$D25*$E25*$H25)</f>
        <v/>
      </c>
      <c r="K25" s="10">
        <f>IF(OR($J25="",$I25=""),"",$J25/(1+$I25))</f>
        <v/>
      </c>
      <c r="L25" s="10">
        <f>IF($B25="","",$D25*IFERROR(VLOOKUP($B25,Lots!$A$5:$P$24,16,FALSE),0))</f>
        <v/>
      </c>
      <c r="M25" s="10">
        <f>IF($K25="","",$K25-N($G25)-$L25)</f>
        <v/>
      </c>
      <c r="N25" s="37">
        <f>IF(N($K25)=0,"",$M25/$K25)</f>
        <v/>
      </c>
      <c r="O25" s="27">
        <f>IF($A25="","",TEXT($A25,"yyyy-mm"))</f>
        <v/>
      </c>
    </row>
    <row r="26">
      <c r="A26" s="14" t="n"/>
      <c r="B26" s="15" t="n"/>
      <c r="C26" s="15" t="n"/>
      <c r="D26" s="15" t="n"/>
      <c r="E26" s="36" t="n"/>
      <c r="F26" s="15" t="n"/>
      <c r="G26" s="16" t="n"/>
      <c r="H26" s="29">
        <f>IF($F26="","",IF($F26="UZS",Pricing!$B$7,IF($F26="USD",Pricing!$B$5,1)))</f>
        <v/>
      </c>
      <c r="I26" s="37">
        <f>IF($C26="","",INDEX(Pricing!$B$13:$E$13,MATCH($C26,Pricing!$B$9:$E$9,0)))</f>
        <v/>
      </c>
      <c r="J26" s="10">
        <f>IF($H26="","",$D26*$E26*$H26)</f>
        <v/>
      </c>
      <c r="K26" s="10">
        <f>IF(OR($J26="",$I26=""),"",$J26/(1+$I26))</f>
        <v/>
      </c>
      <c r="L26" s="10">
        <f>IF($B26="","",$D26*IFERROR(VLOOKUP($B26,Lots!$A$5:$P$24,16,FALSE),0))</f>
        <v/>
      </c>
      <c r="M26" s="10">
        <f>IF($K26="","",$K26-N($G26)-$L26)</f>
        <v/>
      </c>
      <c r="N26" s="37">
        <f>IF(N($K26)=0,"",$M26/$K26)</f>
        <v/>
      </c>
      <c r="O26" s="27">
        <f>IF($A26="","",TEXT($A26,"yyyy-mm"))</f>
        <v/>
      </c>
    </row>
    <row r="27">
      <c r="A27" s="14" t="n"/>
      <c r="B27" s="15" t="n"/>
      <c r="C27" s="15" t="n"/>
      <c r="D27" s="15" t="n"/>
      <c r="E27" s="36" t="n"/>
      <c r="F27" s="15" t="n"/>
      <c r="G27" s="16" t="n"/>
      <c r="H27" s="29">
        <f>IF($F27="","",IF($F27="UZS",Pricing!$B$7,IF($F27="USD",Pricing!$B$5,1)))</f>
        <v/>
      </c>
      <c r="I27" s="37">
        <f>IF($C27="","",INDEX(Pricing!$B$13:$E$13,MATCH($C27,Pricing!$B$9:$E$9,0)))</f>
        <v/>
      </c>
      <c r="J27" s="10">
        <f>IF($H27="","",$D27*$E27*$H27)</f>
        <v/>
      </c>
      <c r="K27" s="10">
        <f>IF(OR($J27="",$I27=""),"",$J27/(1+$I27))</f>
        <v/>
      </c>
      <c r="L27" s="10">
        <f>IF($B27="","",$D27*IFERROR(VLOOKUP($B27,Lots!$A$5:$P$24,16,FALSE),0))</f>
        <v/>
      </c>
      <c r="M27" s="10">
        <f>IF($K27="","",$K27-N($G27)-$L27)</f>
        <v/>
      </c>
      <c r="N27" s="37">
        <f>IF(N($K27)=0,"",$M27/$K27)</f>
        <v/>
      </c>
      <c r="O27" s="27">
        <f>IF($A27="","",TEXT($A27,"yyyy-mm"))</f>
        <v/>
      </c>
    </row>
    <row r="28">
      <c r="A28" s="14" t="n"/>
      <c r="B28" s="15" t="n"/>
      <c r="C28" s="15" t="n"/>
      <c r="D28" s="15" t="n"/>
      <c r="E28" s="36" t="n"/>
      <c r="F28" s="15" t="n"/>
      <c r="G28" s="16" t="n"/>
      <c r="H28" s="29">
        <f>IF($F28="","",IF($F28="UZS",Pricing!$B$7,IF($F28="USD",Pricing!$B$5,1)))</f>
        <v/>
      </c>
      <c r="I28" s="37">
        <f>IF($C28="","",INDEX(Pricing!$B$13:$E$13,MATCH($C28,Pricing!$B$9:$E$9,0)))</f>
        <v/>
      </c>
      <c r="J28" s="10">
        <f>IF($H28="","",$D28*$E28*$H28)</f>
        <v/>
      </c>
      <c r="K28" s="10">
        <f>IF(OR($J28="",$I28=""),"",$J28/(1+$I28))</f>
        <v/>
      </c>
      <c r="L28" s="10">
        <f>IF($B28="","",$D28*IFERROR(VLOOKUP($B28,Lots!$A$5:$P$24,16,FALSE),0))</f>
        <v/>
      </c>
      <c r="M28" s="10">
        <f>IF($K28="","",$K28-N($G28)-$L28)</f>
        <v/>
      </c>
      <c r="N28" s="37">
        <f>IF(N($K28)=0,"",$M28/$K28)</f>
        <v/>
      </c>
      <c r="O28" s="27">
        <f>IF($A28="","",TEXT($A28,"yyyy-mm"))</f>
        <v/>
      </c>
    </row>
    <row r="29">
      <c r="A29" s="14" t="n"/>
      <c r="B29" s="15" t="n"/>
      <c r="C29" s="15" t="n"/>
      <c r="D29" s="15" t="n"/>
      <c r="E29" s="36" t="n"/>
      <c r="F29" s="15" t="n"/>
      <c r="G29" s="16" t="n"/>
      <c r="H29" s="29">
        <f>IF($F29="","",IF($F29="UZS",Pricing!$B$7,IF($F29="USD",Pricing!$B$5,1)))</f>
        <v/>
      </c>
      <c r="I29" s="37">
        <f>IF($C29="","",INDEX(Pricing!$B$13:$E$13,MATCH($C29,Pricing!$B$9:$E$9,0)))</f>
        <v/>
      </c>
      <c r="J29" s="10">
        <f>IF($H29="","",$D29*$E29*$H29)</f>
        <v/>
      </c>
      <c r="K29" s="10">
        <f>IF(OR($J29="",$I29=""),"",$J29/(1+$I29))</f>
        <v/>
      </c>
      <c r="L29" s="10">
        <f>IF($B29="","",$D29*IFERROR(VLOOKUP($B29,Lots!$A$5:$P$24,16,FALSE),0))</f>
        <v/>
      </c>
      <c r="M29" s="10">
        <f>IF($K29="","",$K29-N($G29)-$L29)</f>
        <v/>
      </c>
      <c r="N29" s="37">
        <f>IF(N($K29)=0,"",$M29/$K29)</f>
        <v/>
      </c>
      <c r="O29" s="27">
        <f>IF($A29="","",TEXT($A29,"yyyy-mm"))</f>
        <v/>
      </c>
    </row>
    <row r="30">
      <c r="A30" s="14" t="n"/>
      <c r="B30" s="15" t="n"/>
      <c r="C30" s="15" t="n"/>
      <c r="D30" s="15" t="n"/>
      <c r="E30" s="36" t="n"/>
      <c r="F30" s="15" t="n"/>
      <c r="G30" s="16" t="n"/>
      <c r="H30" s="29">
        <f>IF($F30="","",IF($F30="UZS",Pricing!$B$7,IF($F30="USD",Pricing!$B$5,1)))</f>
        <v/>
      </c>
      <c r="I30" s="37">
        <f>IF($C30="","",INDEX(Pricing!$B$13:$E$13,MATCH($C30,Pricing!$B$9:$E$9,0)))</f>
        <v/>
      </c>
      <c r="J30" s="10">
        <f>IF($H30="","",$D30*$E30*$H30)</f>
        <v/>
      </c>
      <c r="K30" s="10">
        <f>IF(OR($J30="",$I30=""),"",$J30/(1+$I30))</f>
        <v/>
      </c>
      <c r="L30" s="10">
        <f>IF($B30="","",$D30*IFERROR(VLOOKUP($B30,Lots!$A$5:$P$24,16,FALSE),0))</f>
        <v/>
      </c>
      <c r="M30" s="10">
        <f>IF($K30="","",$K30-N($G30)-$L30)</f>
        <v/>
      </c>
      <c r="N30" s="37">
        <f>IF(N($K30)=0,"",$M30/$K30)</f>
        <v/>
      </c>
      <c r="O30" s="27">
        <f>IF($A30="","",TEXT($A30,"yyyy-mm"))</f>
        <v/>
      </c>
    </row>
    <row r="31">
      <c r="A31" s="14" t="n"/>
      <c r="B31" s="15" t="n"/>
      <c r="C31" s="15" t="n"/>
      <c r="D31" s="15" t="n"/>
      <c r="E31" s="36" t="n"/>
      <c r="F31" s="15" t="n"/>
      <c r="G31" s="16" t="n"/>
      <c r="H31" s="29">
        <f>IF($F31="","",IF($F31="UZS",Pricing!$B$7,IF($F31="USD",Pricing!$B$5,1)))</f>
        <v/>
      </c>
      <c r="I31" s="37">
        <f>IF($C31="","",INDEX(Pricing!$B$13:$E$13,MATCH($C31,Pricing!$B$9:$E$9,0)))</f>
        <v/>
      </c>
      <c r="J31" s="10">
        <f>IF($H31="","",$D31*$E31*$H31)</f>
        <v/>
      </c>
      <c r="K31" s="10">
        <f>IF(OR($J31="",$I31=""),"",$J31/(1+$I31))</f>
        <v/>
      </c>
      <c r="L31" s="10">
        <f>IF($B31="","",$D31*IFERROR(VLOOKUP($B31,Lots!$A$5:$P$24,16,FALSE),0))</f>
        <v/>
      </c>
      <c r="M31" s="10">
        <f>IF($K31="","",$K31-N($G31)-$L31)</f>
        <v/>
      </c>
      <c r="N31" s="37">
        <f>IF(N($K31)=0,"",$M31/$K31)</f>
        <v/>
      </c>
      <c r="O31" s="27">
        <f>IF($A31="","",TEXT($A31,"yyyy-mm"))</f>
        <v/>
      </c>
    </row>
    <row r="32">
      <c r="A32" s="14" t="n"/>
      <c r="B32" s="15" t="n"/>
      <c r="C32" s="15" t="n"/>
      <c r="D32" s="15" t="n"/>
      <c r="E32" s="36" t="n"/>
      <c r="F32" s="15" t="n"/>
      <c r="G32" s="16" t="n"/>
      <c r="H32" s="29">
        <f>IF($F32="","",IF($F32="UZS",Pricing!$B$7,IF($F32="USD",Pricing!$B$5,1)))</f>
        <v/>
      </c>
      <c r="I32" s="37">
        <f>IF($C32="","",INDEX(Pricing!$B$13:$E$13,MATCH($C32,Pricing!$B$9:$E$9,0)))</f>
        <v/>
      </c>
      <c r="J32" s="10">
        <f>IF($H32="","",$D32*$E32*$H32)</f>
        <v/>
      </c>
      <c r="K32" s="10">
        <f>IF(OR($J32="",$I32=""),"",$J32/(1+$I32))</f>
        <v/>
      </c>
      <c r="L32" s="10">
        <f>IF($B32="","",$D32*IFERROR(VLOOKUP($B32,Lots!$A$5:$P$24,16,FALSE),0))</f>
        <v/>
      </c>
      <c r="M32" s="10">
        <f>IF($K32="","",$K32-N($G32)-$L32)</f>
        <v/>
      </c>
      <c r="N32" s="37">
        <f>IF(N($K32)=0,"",$M32/$K32)</f>
        <v/>
      </c>
      <c r="O32" s="27">
        <f>IF($A32="","",TEXT($A32,"yyyy-mm"))</f>
        <v/>
      </c>
    </row>
    <row r="33">
      <c r="A33" s="14" t="n"/>
      <c r="B33" s="15" t="n"/>
      <c r="C33" s="15" t="n"/>
      <c r="D33" s="15" t="n"/>
      <c r="E33" s="36" t="n"/>
      <c r="F33" s="15" t="n"/>
      <c r="G33" s="16" t="n"/>
      <c r="H33" s="29">
        <f>IF($F33="","",IF($F33="UZS",Pricing!$B$7,IF($F33="USD",Pricing!$B$5,1)))</f>
        <v/>
      </c>
      <c r="I33" s="37">
        <f>IF($C33="","",INDEX(Pricing!$B$13:$E$13,MATCH($C33,Pricing!$B$9:$E$9,0)))</f>
        <v/>
      </c>
      <c r="J33" s="10">
        <f>IF($H33="","",$D33*$E33*$H33)</f>
        <v/>
      </c>
      <c r="K33" s="10">
        <f>IF(OR($J33="",$I33=""),"",$J33/(1+$I33))</f>
        <v/>
      </c>
      <c r="L33" s="10">
        <f>IF($B33="","",$D33*IFERROR(VLOOKUP($B33,Lots!$A$5:$P$24,16,FALSE),0))</f>
        <v/>
      </c>
      <c r="M33" s="10">
        <f>IF($K33="","",$K33-N($G33)-$L33)</f>
        <v/>
      </c>
      <c r="N33" s="37">
        <f>IF(N($K33)=0,"",$M33/$K33)</f>
        <v/>
      </c>
      <c r="O33" s="27">
        <f>IF($A33="","",TEXT($A33,"yyyy-mm"))</f>
        <v/>
      </c>
    </row>
    <row r="34">
      <c r="A34" s="14" t="n"/>
      <c r="B34" s="15" t="n"/>
      <c r="C34" s="15" t="n"/>
      <c r="D34" s="15" t="n"/>
      <c r="E34" s="36" t="n"/>
      <c r="F34" s="15" t="n"/>
      <c r="G34" s="16" t="n"/>
      <c r="H34" s="29">
        <f>IF($F34="","",IF($F34="UZS",Pricing!$B$7,IF($F34="USD",Pricing!$B$5,1)))</f>
        <v/>
      </c>
      <c r="I34" s="37">
        <f>IF($C34="","",INDEX(Pricing!$B$13:$E$13,MATCH($C34,Pricing!$B$9:$E$9,0)))</f>
        <v/>
      </c>
      <c r="J34" s="10">
        <f>IF($H34="","",$D34*$E34*$H34)</f>
        <v/>
      </c>
      <c r="K34" s="10">
        <f>IF(OR($J34="",$I34=""),"",$J34/(1+$I34))</f>
        <v/>
      </c>
      <c r="L34" s="10">
        <f>IF($B34="","",$D34*IFERROR(VLOOKUP($B34,Lots!$A$5:$P$24,16,FALSE),0))</f>
        <v/>
      </c>
      <c r="M34" s="10">
        <f>IF($K34="","",$K34-N($G34)-$L34)</f>
        <v/>
      </c>
      <c r="N34" s="37">
        <f>IF(N($K34)=0,"",$M34/$K34)</f>
        <v/>
      </c>
      <c r="O34" s="27">
        <f>IF($A34="","",TEXT($A34,"yyyy-mm"))</f>
        <v/>
      </c>
    </row>
    <row r="35">
      <c r="A35" s="14" t="n"/>
      <c r="B35" s="15" t="n"/>
      <c r="C35" s="15" t="n"/>
      <c r="D35" s="15" t="n"/>
      <c r="E35" s="36" t="n"/>
      <c r="F35" s="15" t="n"/>
      <c r="G35" s="16" t="n"/>
      <c r="H35" s="29">
        <f>IF($F35="","",IF($F35="UZS",Pricing!$B$7,IF($F35="USD",Pricing!$B$5,1)))</f>
        <v/>
      </c>
      <c r="I35" s="37">
        <f>IF($C35="","",INDEX(Pricing!$B$13:$E$13,MATCH($C35,Pricing!$B$9:$E$9,0)))</f>
        <v/>
      </c>
      <c r="J35" s="10">
        <f>IF($H35="","",$D35*$E35*$H35)</f>
        <v/>
      </c>
      <c r="K35" s="10">
        <f>IF(OR($J35="",$I35=""),"",$J35/(1+$I35))</f>
        <v/>
      </c>
      <c r="L35" s="10">
        <f>IF($B35="","",$D35*IFERROR(VLOOKUP($B35,Lots!$A$5:$P$24,16,FALSE),0))</f>
        <v/>
      </c>
      <c r="M35" s="10">
        <f>IF($K35="","",$K35-N($G35)-$L35)</f>
        <v/>
      </c>
      <c r="N35" s="37">
        <f>IF(N($K35)=0,"",$M35/$K35)</f>
        <v/>
      </c>
      <c r="O35" s="27">
        <f>IF($A35="","",TEXT($A35,"yyyy-mm"))</f>
        <v/>
      </c>
    </row>
    <row r="36">
      <c r="A36" s="14" t="n"/>
      <c r="B36" s="15" t="n"/>
      <c r="C36" s="15" t="n"/>
      <c r="D36" s="15" t="n"/>
      <c r="E36" s="36" t="n"/>
      <c r="F36" s="15" t="n"/>
      <c r="G36" s="16" t="n"/>
      <c r="H36" s="29">
        <f>IF($F36="","",IF($F36="UZS",Pricing!$B$7,IF($F36="USD",Pricing!$B$5,1)))</f>
        <v/>
      </c>
      <c r="I36" s="37">
        <f>IF($C36="","",INDEX(Pricing!$B$13:$E$13,MATCH($C36,Pricing!$B$9:$E$9,0)))</f>
        <v/>
      </c>
      <c r="J36" s="10">
        <f>IF($H36="","",$D36*$E36*$H36)</f>
        <v/>
      </c>
      <c r="K36" s="10">
        <f>IF(OR($J36="",$I36=""),"",$J36/(1+$I36))</f>
        <v/>
      </c>
      <c r="L36" s="10">
        <f>IF($B36="","",$D36*IFERROR(VLOOKUP($B36,Lots!$A$5:$P$24,16,FALSE),0))</f>
        <v/>
      </c>
      <c r="M36" s="10">
        <f>IF($K36="","",$K36-N($G36)-$L36)</f>
        <v/>
      </c>
      <c r="N36" s="37">
        <f>IF(N($K36)=0,"",$M36/$K36)</f>
        <v/>
      </c>
      <c r="O36" s="27">
        <f>IF($A36="","",TEXT($A36,"yyyy-mm"))</f>
        <v/>
      </c>
    </row>
    <row r="37">
      <c r="A37" s="14" t="n"/>
      <c r="B37" s="15" t="n"/>
      <c r="C37" s="15" t="n"/>
      <c r="D37" s="15" t="n"/>
      <c r="E37" s="36" t="n"/>
      <c r="F37" s="15" t="n"/>
      <c r="G37" s="16" t="n"/>
      <c r="H37" s="29">
        <f>IF($F37="","",IF($F37="UZS",Pricing!$B$7,IF($F37="USD",Pricing!$B$5,1)))</f>
        <v/>
      </c>
      <c r="I37" s="37">
        <f>IF($C37="","",INDEX(Pricing!$B$13:$E$13,MATCH($C37,Pricing!$B$9:$E$9,0)))</f>
        <v/>
      </c>
      <c r="J37" s="10">
        <f>IF($H37="","",$D37*$E37*$H37)</f>
        <v/>
      </c>
      <c r="K37" s="10">
        <f>IF(OR($J37="",$I37=""),"",$J37/(1+$I37))</f>
        <v/>
      </c>
      <c r="L37" s="10">
        <f>IF($B37="","",$D37*IFERROR(VLOOKUP($B37,Lots!$A$5:$P$24,16,FALSE),0))</f>
        <v/>
      </c>
      <c r="M37" s="10">
        <f>IF($K37="","",$K37-N($G37)-$L37)</f>
        <v/>
      </c>
      <c r="N37" s="37">
        <f>IF(N($K37)=0,"",$M37/$K37)</f>
        <v/>
      </c>
      <c r="O37" s="27">
        <f>IF($A37="","",TEXT($A37,"yyyy-mm"))</f>
        <v/>
      </c>
    </row>
    <row r="38">
      <c r="A38" s="14" t="n"/>
      <c r="B38" s="15" t="n"/>
      <c r="C38" s="15" t="n"/>
      <c r="D38" s="15" t="n"/>
      <c r="E38" s="36" t="n"/>
      <c r="F38" s="15" t="n"/>
      <c r="G38" s="16" t="n"/>
      <c r="H38" s="29">
        <f>IF($F38="","",IF($F38="UZS",Pricing!$B$7,IF($F38="USD",Pricing!$B$5,1)))</f>
        <v/>
      </c>
      <c r="I38" s="37">
        <f>IF($C38="","",INDEX(Pricing!$B$13:$E$13,MATCH($C38,Pricing!$B$9:$E$9,0)))</f>
        <v/>
      </c>
      <c r="J38" s="10">
        <f>IF($H38="","",$D38*$E38*$H38)</f>
        <v/>
      </c>
      <c r="K38" s="10">
        <f>IF(OR($J38="",$I38=""),"",$J38/(1+$I38))</f>
        <v/>
      </c>
      <c r="L38" s="10">
        <f>IF($B38="","",$D38*IFERROR(VLOOKUP($B38,Lots!$A$5:$P$24,16,FALSE),0))</f>
        <v/>
      </c>
      <c r="M38" s="10">
        <f>IF($K38="","",$K38-N($G38)-$L38)</f>
        <v/>
      </c>
      <c r="N38" s="37">
        <f>IF(N($K38)=0,"",$M38/$K38)</f>
        <v/>
      </c>
      <c r="O38" s="27">
        <f>IF($A38="","",TEXT($A38,"yyyy-mm"))</f>
        <v/>
      </c>
    </row>
    <row r="39">
      <c r="A39" s="14" t="n"/>
      <c r="B39" s="15" t="n"/>
      <c r="C39" s="15" t="n"/>
      <c r="D39" s="15" t="n"/>
      <c r="E39" s="36" t="n"/>
      <c r="F39" s="15" t="n"/>
      <c r="G39" s="16" t="n"/>
      <c r="H39" s="29">
        <f>IF($F39="","",IF($F39="UZS",Pricing!$B$7,IF($F39="USD",Pricing!$B$5,1)))</f>
        <v/>
      </c>
      <c r="I39" s="37">
        <f>IF($C39="","",INDEX(Pricing!$B$13:$E$13,MATCH($C39,Pricing!$B$9:$E$9,0)))</f>
        <v/>
      </c>
      <c r="J39" s="10">
        <f>IF($H39="","",$D39*$E39*$H39)</f>
        <v/>
      </c>
      <c r="K39" s="10">
        <f>IF(OR($J39="",$I39=""),"",$J39/(1+$I39))</f>
        <v/>
      </c>
      <c r="L39" s="10">
        <f>IF($B39="","",$D39*IFERROR(VLOOKUP($B39,Lots!$A$5:$P$24,16,FALSE),0))</f>
        <v/>
      </c>
      <c r="M39" s="10">
        <f>IF($K39="","",$K39-N($G39)-$L39)</f>
        <v/>
      </c>
      <c r="N39" s="37">
        <f>IF(N($K39)=0,"",$M39/$K39)</f>
        <v/>
      </c>
      <c r="O39" s="27">
        <f>IF($A39="","",TEXT($A39,"yyyy-mm"))</f>
        <v/>
      </c>
    </row>
    <row r="40">
      <c r="A40" s="14" t="n"/>
      <c r="B40" s="15" t="n"/>
      <c r="C40" s="15" t="n"/>
      <c r="D40" s="15" t="n"/>
      <c r="E40" s="36" t="n"/>
      <c r="F40" s="15" t="n"/>
      <c r="G40" s="16" t="n"/>
      <c r="H40" s="29">
        <f>IF($F40="","",IF($F40="UZS",Pricing!$B$7,IF($F40="USD",Pricing!$B$5,1)))</f>
        <v/>
      </c>
      <c r="I40" s="37">
        <f>IF($C40="","",INDEX(Pricing!$B$13:$E$13,MATCH($C40,Pricing!$B$9:$E$9,0)))</f>
        <v/>
      </c>
      <c r="J40" s="10">
        <f>IF($H40="","",$D40*$E40*$H40)</f>
        <v/>
      </c>
      <c r="K40" s="10">
        <f>IF(OR($J40="",$I40=""),"",$J40/(1+$I40))</f>
        <v/>
      </c>
      <c r="L40" s="10">
        <f>IF($B40="","",$D40*IFERROR(VLOOKUP($B40,Lots!$A$5:$P$24,16,FALSE),0))</f>
        <v/>
      </c>
      <c r="M40" s="10">
        <f>IF($K40="","",$K40-N($G40)-$L40)</f>
        <v/>
      </c>
      <c r="N40" s="37">
        <f>IF(N($K40)=0,"",$M40/$K40)</f>
        <v/>
      </c>
      <c r="O40" s="27">
        <f>IF($A40="","",TEXT($A40,"yyyy-mm"))</f>
        <v/>
      </c>
    </row>
    <row r="41">
      <c r="A41" s="14" t="n"/>
      <c r="B41" s="15" t="n"/>
      <c r="C41" s="15" t="n"/>
      <c r="D41" s="15" t="n"/>
      <c r="E41" s="36" t="n"/>
      <c r="F41" s="15" t="n"/>
      <c r="G41" s="16" t="n"/>
      <c r="H41" s="29">
        <f>IF($F41="","",IF($F41="UZS",Pricing!$B$7,IF($F41="USD",Pricing!$B$5,1)))</f>
        <v/>
      </c>
      <c r="I41" s="37">
        <f>IF($C41="","",INDEX(Pricing!$B$13:$E$13,MATCH($C41,Pricing!$B$9:$E$9,0)))</f>
        <v/>
      </c>
      <c r="J41" s="10">
        <f>IF($H41="","",$D41*$E41*$H41)</f>
        <v/>
      </c>
      <c r="K41" s="10">
        <f>IF(OR($J41="",$I41=""),"",$J41/(1+$I41))</f>
        <v/>
      </c>
      <c r="L41" s="10">
        <f>IF($B41="","",$D41*IFERROR(VLOOKUP($B41,Lots!$A$5:$P$24,16,FALSE),0))</f>
        <v/>
      </c>
      <c r="M41" s="10">
        <f>IF($K41="","",$K41-N($G41)-$L41)</f>
        <v/>
      </c>
      <c r="N41" s="37">
        <f>IF(N($K41)=0,"",$M41/$K41)</f>
        <v/>
      </c>
      <c r="O41" s="27">
        <f>IF($A41="","",TEXT($A41,"yyyy-mm"))</f>
        <v/>
      </c>
    </row>
    <row r="42">
      <c r="A42" s="14" t="n"/>
      <c r="B42" s="15" t="n"/>
      <c r="C42" s="15" t="n"/>
      <c r="D42" s="15" t="n"/>
      <c r="E42" s="36" t="n"/>
      <c r="F42" s="15" t="n"/>
      <c r="G42" s="16" t="n"/>
      <c r="H42" s="29">
        <f>IF($F42="","",IF($F42="UZS",Pricing!$B$7,IF($F42="USD",Pricing!$B$5,1)))</f>
        <v/>
      </c>
      <c r="I42" s="37">
        <f>IF($C42="","",INDEX(Pricing!$B$13:$E$13,MATCH($C42,Pricing!$B$9:$E$9,0)))</f>
        <v/>
      </c>
      <c r="J42" s="10">
        <f>IF($H42="","",$D42*$E42*$H42)</f>
        <v/>
      </c>
      <c r="K42" s="10">
        <f>IF(OR($J42="",$I42=""),"",$J42/(1+$I42))</f>
        <v/>
      </c>
      <c r="L42" s="10">
        <f>IF($B42="","",$D42*IFERROR(VLOOKUP($B42,Lots!$A$5:$P$24,16,FALSE),0))</f>
        <v/>
      </c>
      <c r="M42" s="10">
        <f>IF($K42="","",$K42-N($G42)-$L42)</f>
        <v/>
      </c>
      <c r="N42" s="37">
        <f>IF(N($K42)=0,"",$M42/$K42)</f>
        <v/>
      </c>
      <c r="O42" s="27">
        <f>IF($A42="","",TEXT($A42,"yyyy-mm"))</f>
        <v/>
      </c>
    </row>
    <row r="43">
      <c r="A43" s="14" t="n"/>
      <c r="B43" s="15" t="n"/>
      <c r="C43" s="15" t="n"/>
      <c r="D43" s="15" t="n"/>
      <c r="E43" s="36" t="n"/>
      <c r="F43" s="15" t="n"/>
      <c r="G43" s="16" t="n"/>
      <c r="H43" s="29">
        <f>IF($F43="","",IF($F43="UZS",Pricing!$B$7,IF($F43="USD",Pricing!$B$5,1)))</f>
        <v/>
      </c>
      <c r="I43" s="37">
        <f>IF($C43="","",INDEX(Pricing!$B$13:$E$13,MATCH($C43,Pricing!$B$9:$E$9,0)))</f>
        <v/>
      </c>
      <c r="J43" s="10">
        <f>IF($H43="","",$D43*$E43*$H43)</f>
        <v/>
      </c>
      <c r="K43" s="10">
        <f>IF(OR($J43="",$I43=""),"",$J43/(1+$I43))</f>
        <v/>
      </c>
      <c r="L43" s="10">
        <f>IF($B43="","",$D43*IFERROR(VLOOKUP($B43,Lots!$A$5:$P$24,16,FALSE),0))</f>
        <v/>
      </c>
      <c r="M43" s="10">
        <f>IF($K43="","",$K43-N($G43)-$L43)</f>
        <v/>
      </c>
      <c r="N43" s="37">
        <f>IF(N($K43)=0,"",$M43/$K43)</f>
        <v/>
      </c>
      <c r="O43" s="27">
        <f>IF($A43="","",TEXT($A43,"yyyy-mm"))</f>
        <v/>
      </c>
    </row>
    <row r="44">
      <c r="A44" s="14" t="n"/>
      <c r="B44" s="15" t="n"/>
      <c r="C44" s="15" t="n"/>
      <c r="D44" s="15" t="n"/>
      <c r="E44" s="36" t="n"/>
      <c r="F44" s="15" t="n"/>
      <c r="G44" s="16" t="n"/>
      <c r="H44" s="29">
        <f>IF($F44="","",IF($F44="UZS",Pricing!$B$7,IF($F44="USD",Pricing!$B$5,1)))</f>
        <v/>
      </c>
      <c r="I44" s="37">
        <f>IF($C44="","",INDEX(Pricing!$B$13:$E$13,MATCH($C44,Pricing!$B$9:$E$9,0)))</f>
        <v/>
      </c>
      <c r="J44" s="10">
        <f>IF($H44="","",$D44*$E44*$H44)</f>
        <v/>
      </c>
      <c r="K44" s="10">
        <f>IF(OR($J44="",$I44=""),"",$J44/(1+$I44))</f>
        <v/>
      </c>
      <c r="L44" s="10">
        <f>IF($B44="","",$D44*IFERROR(VLOOKUP($B44,Lots!$A$5:$P$24,16,FALSE),0))</f>
        <v/>
      </c>
      <c r="M44" s="10">
        <f>IF($K44="","",$K44-N($G44)-$L44)</f>
        <v/>
      </c>
      <c r="N44" s="37">
        <f>IF(N($K44)=0,"",$M44/$K44)</f>
        <v/>
      </c>
      <c r="O44" s="27">
        <f>IF($A44="","",TEXT($A44,"yyyy-mm"))</f>
        <v/>
      </c>
    </row>
    <row r="46">
      <c r="A46" s="2" t="inlineStr">
        <is>
          <t>Rows 5 to 44 are ready. For more, copy the last row down.</t>
        </is>
      </c>
    </row>
  </sheetData>
  <dataValidations count="3">
    <dataValidation sqref="B5:B44" showDropDown="0" showInputMessage="0" showErrorMessage="0" allowBlank="1" type="list">
      <formula1>=Lots!$A$5:$A$24</formula1>
    </dataValidation>
    <dataValidation sqref="C5:C44" showDropDown="0" showInputMessage="0" showErrorMessage="0" allowBlank="1" type="list">
      <formula1>"Uzbekistan B2B,Uzbekistan B2C,Korea B2B,Korea B2C"</formula1>
    </dataValidation>
    <dataValidation sqref="F5:F44" showDropDown="0" showInputMessage="0" showErrorMessage="0" allowBlank="1" type="list">
      <formula1>"UZS,KRW,USD"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34" customWidth="1" min="3" max="3"/>
    <col width="12" customWidth="1" min="4" max="4"/>
    <col width="9" customWidth="1" min="5" max="5"/>
    <col width="14" customWidth="1" min="6" max="6"/>
    <col width="8" customWidth="1" min="7" max="7"/>
  </cols>
  <sheetData>
    <row r="1">
      <c r="A1" s="1" t="inlineStr">
        <is>
          <t>Running expenses</t>
        </is>
      </c>
    </row>
    <row r="2">
      <c r="A2" s="2" t="inlineStr">
        <is>
          <t>First two rows are from your original sheet. Currency was not stated there, so KRW is assumed; the second date said 2027 and is set to 2026.</t>
        </is>
      </c>
    </row>
    <row r="4" ht="42" customHeight="1">
      <c r="A4" s="5" t="inlineStr">
        <is>
          <t>Date</t>
        </is>
      </c>
      <c r="B4" s="5" t="inlineStr">
        <is>
          <t>Category</t>
        </is>
      </c>
      <c r="C4" s="5" t="inlineStr">
        <is>
          <t>Description</t>
        </is>
      </c>
      <c r="D4" s="5" t="inlineStr">
        <is>
          <t>Amount</t>
        </is>
      </c>
      <c r="E4" s="5" t="inlineStr">
        <is>
          <t>Currency</t>
        </is>
      </c>
      <c r="F4" s="5" t="inlineStr">
        <is>
          <t>Amount (KRW)</t>
        </is>
      </c>
      <c r="G4" s="5" t="inlineStr">
        <is>
          <t>Month</t>
        </is>
      </c>
    </row>
    <row r="5">
      <c r="A5" s="14" t="n">
        <v>46230</v>
      </c>
      <c r="B5" s="15" t="inlineStr">
        <is>
          <t>AI tools</t>
        </is>
      </c>
      <c r="C5" s="15" t="n"/>
      <c r="D5" s="36" t="n">
        <v>35884</v>
      </c>
      <c r="E5" s="38" t="inlineStr">
        <is>
          <t>KRW</t>
        </is>
      </c>
      <c r="F5" s="10">
        <f>IF($D5="","",$D5*IF($E5="UZS",Pricing!$B$7,IF($E5="USD",Pricing!$B$5,1)))</f>
        <v/>
      </c>
      <c r="G5" s="27">
        <f>IF($A5="","",TEXT($A5,"yyyy-mm"))</f>
        <v/>
      </c>
    </row>
    <row r="6">
      <c r="A6" s="39" t="n">
        <v>46231</v>
      </c>
      <c r="B6" s="15" t="inlineStr">
        <is>
          <t>AI tools</t>
        </is>
      </c>
      <c r="C6" s="15" t="n"/>
      <c r="D6" s="36" t="n">
        <v>35838</v>
      </c>
      <c r="E6" s="38" t="inlineStr">
        <is>
          <t>KRW</t>
        </is>
      </c>
      <c r="F6" s="10">
        <f>IF($D6="","",$D6*IF($E6="UZS",Pricing!$B$7,IF($E6="USD",Pricing!$B$5,1)))</f>
        <v/>
      </c>
      <c r="G6" s="27">
        <f>IF($A6="","",TEXT($A6,"yyyy-mm"))</f>
        <v/>
      </c>
    </row>
    <row r="7">
      <c r="A7" s="14" t="n"/>
      <c r="B7" s="15" t="n"/>
      <c r="C7" s="15" t="n"/>
      <c r="D7" s="36" t="n"/>
      <c r="E7" s="15" t="n"/>
      <c r="F7" s="10">
        <f>IF($D7="","",$D7*IF($E7="UZS",Pricing!$B$7,IF($E7="USD",Pricing!$B$5,1)))</f>
        <v/>
      </c>
      <c r="G7" s="27">
        <f>IF($A7="","",TEXT($A7,"yyyy-mm"))</f>
        <v/>
      </c>
    </row>
    <row r="8">
      <c r="A8" s="14" t="n"/>
      <c r="B8" s="15" t="n"/>
      <c r="C8" s="15" t="n"/>
      <c r="D8" s="36" t="n"/>
      <c r="E8" s="15" t="n"/>
      <c r="F8" s="10">
        <f>IF($D8="","",$D8*IF($E8="UZS",Pricing!$B$7,IF($E8="USD",Pricing!$B$5,1)))</f>
        <v/>
      </c>
      <c r="G8" s="27">
        <f>IF($A8="","",TEXT($A8,"yyyy-mm"))</f>
        <v/>
      </c>
    </row>
    <row r="9">
      <c r="A9" s="14" t="n"/>
      <c r="B9" s="15" t="n"/>
      <c r="C9" s="15" t="n"/>
      <c r="D9" s="36" t="n"/>
      <c r="E9" s="15" t="n"/>
      <c r="F9" s="10">
        <f>IF($D9="","",$D9*IF($E9="UZS",Pricing!$B$7,IF($E9="USD",Pricing!$B$5,1)))</f>
        <v/>
      </c>
      <c r="G9" s="27">
        <f>IF($A9="","",TEXT($A9,"yyyy-mm"))</f>
        <v/>
      </c>
    </row>
    <row r="10">
      <c r="A10" s="14" t="n"/>
      <c r="B10" s="15" t="n"/>
      <c r="C10" s="15" t="n"/>
      <c r="D10" s="36" t="n"/>
      <c r="E10" s="15" t="n"/>
      <c r="F10" s="10">
        <f>IF($D10="","",$D10*IF($E10="UZS",Pricing!$B$7,IF($E10="USD",Pricing!$B$5,1)))</f>
        <v/>
      </c>
      <c r="G10" s="27">
        <f>IF($A10="","",TEXT($A10,"yyyy-mm"))</f>
        <v/>
      </c>
    </row>
    <row r="11">
      <c r="A11" s="14" t="n"/>
      <c r="B11" s="15" t="n"/>
      <c r="C11" s="15" t="n"/>
      <c r="D11" s="36" t="n"/>
      <c r="E11" s="15" t="n"/>
      <c r="F11" s="10">
        <f>IF($D11="","",$D11*IF($E11="UZS",Pricing!$B$7,IF($E11="USD",Pricing!$B$5,1)))</f>
        <v/>
      </c>
      <c r="G11" s="27">
        <f>IF($A11="","",TEXT($A11,"yyyy-mm"))</f>
        <v/>
      </c>
    </row>
    <row r="12">
      <c r="A12" s="14" t="n"/>
      <c r="B12" s="15" t="n"/>
      <c r="C12" s="15" t="n"/>
      <c r="D12" s="36" t="n"/>
      <c r="E12" s="15" t="n"/>
      <c r="F12" s="10">
        <f>IF($D12="","",$D12*IF($E12="UZS",Pricing!$B$7,IF($E12="USD",Pricing!$B$5,1)))</f>
        <v/>
      </c>
      <c r="G12" s="27">
        <f>IF($A12="","",TEXT($A12,"yyyy-mm"))</f>
        <v/>
      </c>
    </row>
    <row r="13">
      <c r="A13" s="14" t="n"/>
      <c r="B13" s="15" t="n"/>
      <c r="C13" s="15" t="n"/>
      <c r="D13" s="36" t="n"/>
      <c r="E13" s="15" t="n"/>
      <c r="F13" s="10">
        <f>IF($D13="","",$D13*IF($E13="UZS",Pricing!$B$7,IF($E13="USD",Pricing!$B$5,1)))</f>
        <v/>
      </c>
      <c r="G13" s="27">
        <f>IF($A13="","",TEXT($A13,"yyyy-mm"))</f>
        <v/>
      </c>
    </row>
    <row r="14">
      <c r="A14" s="14" t="n"/>
      <c r="B14" s="15" t="n"/>
      <c r="C14" s="15" t="n"/>
      <c r="D14" s="36" t="n"/>
      <c r="E14" s="15" t="n"/>
      <c r="F14" s="10">
        <f>IF($D14="","",$D14*IF($E14="UZS",Pricing!$B$7,IF($E14="USD",Pricing!$B$5,1)))</f>
        <v/>
      </c>
      <c r="G14" s="27">
        <f>IF($A14="","",TEXT($A14,"yyyy-mm"))</f>
        <v/>
      </c>
    </row>
    <row r="15">
      <c r="A15" s="14" t="n"/>
      <c r="B15" s="15" t="n"/>
      <c r="C15" s="15" t="n"/>
      <c r="D15" s="36" t="n"/>
      <c r="E15" s="15" t="n"/>
      <c r="F15" s="10">
        <f>IF($D15="","",$D15*IF($E15="UZS",Pricing!$B$7,IF($E15="USD",Pricing!$B$5,1)))</f>
        <v/>
      </c>
      <c r="G15" s="27">
        <f>IF($A15="","",TEXT($A15,"yyyy-mm"))</f>
        <v/>
      </c>
    </row>
    <row r="16">
      <c r="A16" s="14" t="n"/>
      <c r="B16" s="15" t="n"/>
      <c r="C16" s="15" t="n"/>
      <c r="D16" s="36" t="n"/>
      <c r="E16" s="15" t="n"/>
      <c r="F16" s="10">
        <f>IF($D16="","",$D16*IF($E16="UZS",Pricing!$B$7,IF($E16="USD",Pricing!$B$5,1)))</f>
        <v/>
      </c>
      <c r="G16" s="27">
        <f>IF($A16="","",TEXT($A16,"yyyy-mm"))</f>
        <v/>
      </c>
    </row>
    <row r="17">
      <c r="A17" s="14" t="n"/>
      <c r="B17" s="15" t="n"/>
      <c r="C17" s="15" t="n"/>
      <c r="D17" s="36" t="n"/>
      <c r="E17" s="15" t="n"/>
      <c r="F17" s="10">
        <f>IF($D17="","",$D17*IF($E17="UZS",Pricing!$B$7,IF($E17="USD",Pricing!$B$5,1)))</f>
        <v/>
      </c>
      <c r="G17" s="27">
        <f>IF($A17="","",TEXT($A17,"yyyy-mm"))</f>
        <v/>
      </c>
    </row>
    <row r="18">
      <c r="A18" s="14" t="n"/>
      <c r="B18" s="15" t="n"/>
      <c r="C18" s="15" t="n"/>
      <c r="D18" s="36" t="n"/>
      <c r="E18" s="15" t="n"/>
      <c r="F18" s="10">
        <f>IF($D18="","",$D18*IF($E18="UZS",Pricing!$B$7,IF($E18="USD",Pricing!$B$5,1)))</f>
        <v/>
      </c>
      <c r="G18" s="27">
        <f>IF($A18="","",TEXT($A18,"yyyy-mm"))</f>
        <v/>
      </c>
    </row>
    <row r="19">
      <c r="A19" s="14" t="n"/>
      <c r="B19" s="15" t="n"/>
      <c r="C19" s="15" t="n"/>
      <c r="D19" s="36" t="n"/>
      <c r="E19" s="15" t="n"/>
      <c r="F19" s="10">
        <f>IF($D19="","",$D19*IF($E19="UZS",Pricing!$B$7,IF($E19="USD",Pricing!$B$5,1)))</f>
        <v/>
      </c>
      <c r="G19" s="27">
        <f>IF($A19="","",TEXT($A19,"yyyy-mm"))</f>
        <v/>
      </c>
    </row>
    <row r="20">
      <c r="A20" s="14" t="n"/>
      <c r="B20" s="15" t="n"/>
      <c r="C20" s="15" t="n"/>
      <c r="D20" s="36" t="n"/>
      <c r="E20" s="15" t="n"/>
      <c r="F20" s="10">
        <f>IF($D20="","",$D20*IF($E20="UZS",Pricing!$B$7,IF($E20="USD",Pricing!$B$5,1)))</f>
        <v/>
      </c>
      <c r="G20" s="27">
        <f>IF($A20="","",TEXT($A20,"yyyy-mm"))</f>
        <v/>
      </c>
    </row>
    <row r="21">
      <c r="A21" s="14" t="n"/>
      <c r="B21" s="15" t="n"/>
      <c r="C21" s="15" t="n"/>
      <c r="D21" s="36" t="n"/>
      <c r="E21" s="15" t="n"/>
      <c r="F21" s="10">
        <f>IF($D21="","",$D21*IF($E21="UZS",Pricing!$B$7,IF($E21="USD",Pricing!$B$5,1)))</f>
        <v/>
      </c>
      <c r="G21" s="27">
        <f>IF($A21="","",TEXT($A21,"yyyy-mm"))</f>
        <v/>
      </c>
    </row>
    <row r="22">
      <c r="A22" s="14" t="n"/>
      <c r="B22" s="15" t="n"/>
      <c r="C22" s="15" t="n"/>
      <c r="D22" s="36" t="n"/>
      <c r="E22" s="15" t="n"/>
      <c r="F22" s="10">
        <f>IF($D22="","",$D22*IF($E22="UZS",Pricing!$B$7,IF($E22="USD",Pricing!$B$5,1)))</f>
        <v/>
      </c>
      <c r="G22" s="27">
        <f>IF($A22="","",TEXT($A22,"yyyy-mm"))</f>
        <v/>
      </c>
    </row>
    <row r="23">
      <c r="A23" s="14" t="n"/>
      <c r="B23" s="15" t="n"/>
      <c r="C23" s="15" t="n"/>
      <c r="D23" s="36" t="n"/>
      <c r="E23" s="15" t="n"/>
      <c r="F23" s="10">
        <f>IF($D23="","",$D23*IF($E23="UZS",Pricing!$B$7,IF($E23="USD",Pricing!$B$5,1)))</f>
        <v/>
      </c>
      <c r="G23" s="27">
        <f>IF($A23="","",TEXT($A23,"yyyy-mm"))</f>
        <v/>
      </c>
    </row>
    <row r="24">
      <c r="A24" s="14" t="n"/>
      <c r="B24" s="15" t="n"/>
      <c r="C24" s="15" t="n"/>
      <c r="D24" s="36" t="n"/>
      <c r="E24" s="15" t="n"/>
      <c r="F24" s="10">
        <f>IF($D24="","",$D24*IF($E24="UZS",Pricing!$B$7,IF($E24="USD",Pricing!$B$5,1)))</f>
        <v/>
      </c>
      <c r="G24" s="27">
        <f>IF($A24="","",TEXT($A24,"yyyy-mm"))</f>
        <v/>
      </c>
    </row>
    <row r="25">
      <c r="A25" s="14" t="n"/>
      <c r="B25" s="15" t="n"/>
      <c r="C25" s="15" t="n"/>
      <c r="D25" s="36" t="n"/>
      <c r="E25" s="15" t="n"/>
      <c r="F25" s="10">
        <f>IF($D25="","",$D25*IF($E25="UZS",Pricing!$B$7,IF($E25="USD",Pricing!$B$5,1)))</f>
        <v/>
      </c>
      <c r="G25" s="27">
        <f>IF($A25="","",TEXT($A25,"yyyy-mm"))</f>
        <v/>
      </c>
    </row>
    <row r="26">
      <c r="A26" s="14" t="n"/>
      <c r="B26" s="15" t="n"/>
      <c r="C26" s="15" t="n"/>
      <c r="D26" s="36" t="n"/>
      <c r="E26" s="15" t="n"/>
      <c r="F26" s="10">
        <f>IF($D26="","",$D26*IF($E26="UZS",Pricing!$B$7,IF($E26="USD",Pricing!$B$5,1)))</f>
        <v/>
      </c>
      <c r="G26" s="27">
        <f>IF($A26="","",TEXT($A26,"yyyy-mm"))</f>
        <v/>
      </c>
    </row>
    <row r="27">
      <c r="A27" s="14" t="n"/>
      <c r="B27" s="15" t="n"/>
      <c r="C27" s="15" t="n"/>
      <c r="D27" s="36" t="n"/>
      <c r="E27" s="15" t="n"/>
      <c r="F27" s="10">
        <f>IF($D27="","",$D27*IF($E27="UZS",Pricing!$B$7,IF($E27="USD",Pricing!$B$5,1)))</f>
        <v/>
      </c>
      <c r="G27" s="27">
        <f>IF($A27="","",TEXT($A27,"yyyy-mm"))</f>
        <v/>
      </c>
    </row>
    <row r="28">
      <c r="A28" s="14" t="n"/>
      <c r="B28" s="15" t="n"/>
      <c r="C28" s="15" t="n"/>
      <c r="D28" s="36" t="n"/>
      <c r="E28" s="15" t="n"/>
      <c r="F28" s="10">
        <f>IF($D28="","",$D28*IF($E28="UZS",Pricing!$B$7,IF($E28="USD",Pricing!$B$5,1)))</f>
        <v/>
      </c>
      <c r="G28" s="27">
        <f>IF($A28="","",TEXT($A28,"yyyy-mm"))</f>
        <v/>
      </c>
    </row>
    <row r="29">
      <c r="A29" s="14" t="n"/>
      <c r="B29" s="15" t="n"/>
      <c r="C29" s="15" t="n"/>
      <c r="D29" s="36" t="n"/>
      <c r="E29" s="15" t="n"/>
      <c r="F29" s="10">
        <f>IF($D29="","",$D29*IF($E29="UZS",Pricing!$B$7,IF($E29="USD",Pricing!$B$5,1)))</f>
        <v/>
      </c>
      <c r="G29" s="27">
        <f>IF($A29="","",TEXT($A29,"yyyy-mm"))</f>
        <v/>
      </c>
    </row>
    <row r="30">
      <c r="A30" s="14" t="n"/>
      <c r="B30" s="15" t="n"/>
      <c r="C30" s="15" t="n"/>
      <c r="D30" s="36" t="n"/>
      <c r="E30" s="15" t="n"/>
      <c r="F30" s="10">
        <f>IF($D30="","",$D30*IF($E30="UZS",Pricing!$B$7,IF($E30="USD",Pricing!$B$5,1)))</f>
        <v/>
      </c>
      <c r="G30" s="27">
        <f>IF($A30="","",TEXT($A30,"yyyy-mm"))</f>
        <v/>
      </c>
    </row>
    <row r="31">
      <c r="A31" s="14" t="n"/>
      <c r="B31" s="15" t="n"/>
      <c r="C31" s="15" t="n"/>
      <c r="D31" s="36" t="n"/>
      <c r="E31" s="15" t="n"/>
      <c r="F31" s="10">
        <f>IF($D31="","",$D31*IF($E31="UZS",Pricing!$B$7,IF($E31="USD",Pricing!$B$5,1)))</f>
        <v/>
      </c>
      <c r="G31" s="27">
        <f>IF($A31="","",TEXT($A31,"yyyy-mm"))</f>
        <v/>
      </c>
    </row>
    <row r="32">
      <c r="A32" s="14" t="n"/>
      <c r="B32" s="15" t="n"/>
      <c r="C32" s="15" t="n"/>
      <c r="D32" s="36" t="n"/>
      <c r="E32" s="15" t="n"/>
      <c r="F32" s="10">
        <f>IF($D32="","",$D32*IF($E32="UZS",Pricing!$B$7,IF($E32="USD",Pricing!$B$5,1)))</f>
        <v/>
      </c>
      <c r="G32" s="27">
        <f>IF($A32="","",TEXT($A32,"yyyy-mm"))</f>
        <v/>
      </c>
    </row>
    <row r="33">
      <c r="A33" s="14" t="n"/>
      <c r="B33" s="15" t="n"/>
      <c r="C33" s="15" t="n"/>
      <c r="D33" s="36" t="n"/>
      <c r="E33" s="15" t="n"/>
      <c r="F33" s="10">
        <f>IF($D33="","",$D33*IF($E33="UZS",Pricing!$B$7,IF($E33="USD",Pricing!$B$5,1)))</f>
        <v/>
      </c>
      <c r="G33" s="27">
        <f>IF($A33="","",TEXT($A33,"yyyy-mm"))</f>
        <v/>
      </c>
    </row>
    <row r="34">
      <c r="A34" s="14" t="n"/>
      <c r="B34" s="15" t="n"/>
      <c r="C34" s="15" t="n"/>
      <c r="D34" s="36" t="n"/>
      <c r="E34" s="15" t="n"/>
      <c r="F34" s="10">
        <f>IF($D34="","",$D34*IF($E34="UZS",Pricing!$B$7,IF($E34="USD",Pricing!$B$5,1)))</f>
        <v/>
      </c>
      <c r="G34" s="27">
        <f>IF($A34="","",TEXT($A34,"yyyy-mm"))</f>
        <v/>
      </c>
    </row>
    <row r="35">
      <c r="A35" s="14" t="n"/>
      <c r="B35" s="15" t="n"/>
      <c r="C35" s="15" t="n"/>
      <c r="D35" s="36" t="n"/>
      <c r="E35" s="15" t="n"/>
      <c r="F35" s="10">
        <f>IF($D35="","",$D35*IF($E35="UZS",Pricing!$B$7,IF($E35="USD",Pricing!$B$5,1)))</f>
        <v/>
      </c>
      <c r="G35" s="27">
        <f>IF($A35="","",TEXT($A35,"yyyy-mm"))</f>
        <v/>
      </c>
    </row>
    <row r="36">
      <c r="A36" s="14" t="n"/>
      <c r="B36" s="15" t="n"/>
      <c r="C36" s="15" t="n"/>
      <c r="D36" s="36" t="n"/>
      <c r="E36" s="15" t="n"/>
      <c r="F36" s="10">
        <f>IF($D36="","",$D36*IF($E36="UZS",Pricing!$B$7,IF($E36="USD",Pricing!$B$5,1)))</f>
        <v/>
      </c>
      <c r="G36" s="27">
        <f>IF($A36="","",TEXT($A36,"yyyy-mm"))</f>
        <v/>
      </c>
    </row>
    <row r="37">
      <c r="A37" s="14" t="n"/>
      <c r="B37" s="15" t="n"/>
      <c r="C37" s="15" t="n"/>
      <c r="D37" s="36" t="n"/>
      <c r="E37" s="15" t="n"/>
      <c r="F37" s="10">
        <f>IF($D37="","",$D37*IF($E37="UZS",Pricing!$B$7,IF($E37="USD",Pricing!$B$5,1)))</f>
        <v/>
      </c>
      <c r="G37" s="27">
        <f>IF($A37="","",TEXT($A37,"yyyy-mm"))</f>
        <v/>
      </c>
    </row>
    <row r="38">
      <c r="A38" s="14" t="n"/>
      <c r="B38" s="15" t="n"/>
      <c r="C38" s="15" t="n"/>
      <c r="D38" s="36" t="n"/>
      <c r="E38" s="15" t="n"/>
      <c r="F38" s="10">
        <f>IF($D38="","",$D38*IF($E38="UZS",Pricing!$B$7,IF($E38="USD",Pricing!$B$5,1)))</f>
        <v/>
      </c>
      <c r="G38" s="27">
        <f>IF($A38="","",TEXT($A38,"yyyy-mm"))</f>
        <v/>
      </c>
    </row>
    <row r="39">
      <c r="A39" s="14" t="n"/>
      <c r="B39" s="15" t="n"/>
      <c r="C39" s="15" t="n"/>
      <c r="D39" s="36" t="n"/>
      <c r="E39" s="15" t="n"/>
      <c r="F39" s="10">
        <f>IF($D39="","",$D39*IF($E39="UZS",Pricing!$B$7,IF($E39="USD",Pricing!$B$5,1)))</f>
        <v/>
      </c>
      <c r="G39" s="27">
        <f>IF($A39="","",TEXT($A39,"yyyy-mm"))</f>
        <v/>
      </c>
    </row>
    <row r="40">
      <c r="A40" s="14" t="n"/>
      <c r="B40" s="15" t="n"/>
      <c r="C40" s="15" t="n"/>
      <c r="D40" s="36" t="n"/>
      <c r="E40" s="15" t="n"/>
      <c r="F40" s="10">
        <f>IF($D40="","",$D40*IF($E40="UZS",Pricing!$B$7,IF($E40="USD",Pricing!$B$5,1)))</f>
        <v/>
      </c>
      <c r="G40" s="27">
        <f>IF($A40="","",TEXT($A40,"yyyy-mm"))</f>
        <v/>
      </c>
    </row>
    <row r="41">
      <c r="A41" s="14" t="n"/>
      <c r="B41" s="15" t="n"/>
      <c r="C41" s="15" t="n"/>
      <c r="D41" s="36" t="n"/>
      <c r="E41" s="15" t="n"/>
      <c r="F41" s="10">
        <f>IF($D41="","",$D41*IF($E41="UZS",Pricing!$B$7,IF($E41="USD",Pricing!$B$5,1)))</f>
        <v/>
      </c>
      <c r="G41" s="27">
        <f>IF($A41="","",TEXT($A41,"yyyy-mm"))</f>
        <v/>
      </c>
    </row>
    <row r="42">
      <c r="A42" s="14" t="n"/>
      <c r="B42" s="15" t="n"/>
      <c r="C42" s="15" t="n"/>
      <c r="D42" s="36" t="n"/>
      <c r="E42" s="15" t="n"/>
      <c r="F42" s="10">
        <f>IF($D42="","",$D42*IF($E42="UZS",Pricing!$B$7,IF($E42="USD",Pricing!$B$5,1)))</f>
        <v/>
      </c>
      <c r="G42" s="27">
        <f>IF($A42="","",TEXT($A42,"yyyy-mm"))</f>
        <v/>
      </c>
    </row>
    <row r="43">
      <c r="A43" s="14" t="n"/>
      <c r="B43" s="15" t="n"/>
      <c r="C43" s="15" t="n"/>
      <c r="D43" s="36" t="n"/>
      <c r="E43" s="15" t="n"/>
      <c r="F43" s="10">
        <f>IF($D43="","",$D43*IF($E43="UZS",Pricing!$B$7,IF($E43="USD",Pricing!$B$5,1)))</f>
        <v/>
      </c>
      <c r="G43" s="27">
        <f>IF($A43="","",TEXT($A43,"yyyy-mm"))</f>
        <v/>
      </c>
    </row>
    <row r="44">
      <c r="A44" s="14" t="n"/>
      <c r="B44" s="15" t="n"/>
      <c r="C44" s="15" t="n"/>
      <c r="D44" s="36" t="n"/>
      <c r="E44" s="15" t="n"/>
      <c r="F44" s="10">
        <f>IF($D44="","",$D44*IF($E44="UZS",Pricing!$B$7,IF($E44="USD",Pricing!$B$5,1)))</f>
        <v/>
      </c>
      <c r="G44" s="27">
        <f>IF($A44="","",TEXT($A44,"yyyy-mm"))</f>
        <v/>
      </c>
    </row>
  </sheetData>
  <dataValidations count="2">
    <dataValidation sqref="B5:B44" showDropDown="0" showInputMessage="0" showErrorMessage="0" allowBlank="1" type="list">
      <formula1>"AI tools,Marketing,Registration,Travel,Software,Samples,Office,Other"</formula1>
    </dataValidation>
    <dataValidation sqref="E5:E44" showDropDown="0" showInputMessage="0" showErrorMessage="0" allowBlank="1" type="list">
      <formula1>"KRW,USD,UZS"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Summary</t>
        </is>
      </c>
    </row>
    <row r="2">
      <c r="A2" s="2" t="inlineStr">
        <is>
          <t>Everything here is calculated from the other tabs.</t>
        </is>
      </c>
    </row>
    <row r="4" ht="42" customHeight="1">
      <c r="A4" s="5" t="inlineStr">
        <is>
          <t>Money and stock</t>
        </is>
      </c>
      <c r="B4" s="5" t="inlineStr">
        <is>
          <t>KRW</t>
        </is>
      </c>
      <c r="C4" s="5" t="inlineStr">
        <is>
          <t>USD</t>
        </is>
      </c>
    </row>
    <row r="5">
      <c r="A5" s="27" t="inlineStr">
        <is>
          <t>Paid to factory (all batches)</t>
        </is>
      </c>
      <c r="B5" s="10">
        <f>SUM(Production!$C:$C)</f>
        <v/>
      </c>
      <c r="C5" s="40">
        <f>B5/Pricing!$B$5</f>
        <v/>
      </c>
    </row>
    <row r="6">
      <c r="A6" s="27" t="inlineStr">
        <is>
          <t>Freight paid (all lots)</t>
        </is>
      </c>
      <c r="B6" s="10">
        <f>SUM(Lots!$K$5:$K$24)*Pricing!$B$5</f>
        <v/>
      </c>
      <c r="C6" s="40">
        <f>B6/Pricing!$B$5</f>
        <v/>
      </c>
    </row>
    <row r="7">
      <c r="A7" s="27" t="inlineStr">
        <is>
          <t>Customs and other import costs</t>
        </is>
      </c>
      <c r="B7" s="10">
        <f>SUM(Lots!$L$5:$L$24)</f>
        <v/>
      </c>
      <c r="C7" s="40">
        <f>B7/Pricing!$B$5</f>
        <v/>
      </c>
    </row>
    <row r="8">
      <c r="A8" s="27" t="inlineStr">
        <is>
          <t>Revenue before VAT (all sales)</t>
        </is>
      </c>
      <c r="B8" s="10">
        <f>SUM(Sales!$K$5:$K$44)</f>
        <v/>
      </c>
      <c r="C8" s="40">
        <f>B8/Pricing!$B$5</f>
        <v/>
      </c>
    </row>
    <row r="9">
      <c r="A9" s="27" t="inlineStr">
        <is>
          <t>Profit from sales</t>
        </is>
      </c>
      <c r="B9" s="10">
        <f>SUM(Sales!$M$5:$M$44)</f>
        <v/>
      </c>
      <c r="C9" s="40">
        <f>B9/Pricing!$B$5</f>
        <v/>
      </c>
    </row>
    <row r="10">
      <c r="A10" s="27" t="inlineStr">
        <is>
          <t>Running expenses</t>
        </is>
      </c>
      <c r="B10" s="10">
        <f>SUM(Expenses!$F$5:$F$44)</f>
        <v/>
      </c>
      <c r="C10" s="40">
        <f>B10/Pricing!$B$5</f>
        <v/>
      </c>
    </row>
    <row r="11">
      <c r="A11" s="3" t="inlineStr">
        <is>
          <t>Net profit so far</t>
        </is>
      </c>
      <c r="B11" s="41">
        <f>B9-B10</f>
        <v/>
      </c>
      <c r="C11" s="40">
        <f>B11/Pricing!$B$5</f>
        <v/>
      </c>
    </row>
    <row r="12">
      <c r="A12" s="27" t="inlineStr">
        <is>
          <t>Value of unsold stock (at landed cost)</t>
        </is>
      </c>
      <c r="B12" s="10">
        <f>SUMPRODUCT(N(+Lots!$R$5:$R$24),N(+Lots!$P$5:$P$24))</f>
        <v/>
      </c>
      <c r="C12" s="40">
        <f>B12/Pricing!$B$5</f>
        <v/>
      </c>
    </row>
    <row r="14" ht="42" customHeight="1">
      <c r="A14" s="5" t="inlineStr">
        <is>
          <t>Units left</t>
        </is>
      </c>
      <c r="B14" s="5" t="inlineStr">
        <is>
          <t>Units</t>
        </is>
      </c>
    </row>
    <row r="15">
      <c r="A15" s="27" t="inlineStr">
        <is>
          <t>In Korea</t>
        </is>
      </c>
      <c r="B15" s="18">
        <f>SUMIFS(Lots!$R$5:$R$24,Lots!$D$5:$D$24,"Korea")</f>
        <v/>
      </c>
    </row>
    <row r="16">
      <c r="A16" s="27" t="inlineStr">
        <is>
          <t>In Uzbekistan</t>
        </is>
      </c>
      <c r="B16" s="18">
        <f>SUMIFS(Lots!$R$5:$R$24,Lots!$D$5:$D$24,"Uzbekistan")</f>
        <v/>
      </c>
    </row>
    <row r="17">
      <c r="A17" s="3" t="inlineStr">
        <is>
          <t>Total</t>
        </is>
      </c>
      <c r="B17" s="23">
        <f>B15+B16</f>
        <v/>
      </c>
    </row>
    <row r="19" ht="42" customHeight="1">
      <c r="A19" s="5" t="inlineStr">
        <is>
          <t>Profit by month (KRW)</t>
        </is>
      </c>
      <c r="B19" s="42" t="inlineStr">
        <is>
          <t>2026-07</t>
        </is>
      </c>
      <c r="C19" s="42" t="inlineStr">
        <is>
          <t>2026-08</t>
        </is>
      </c>
      <c r="D19" s="42" t="inlineStr">
        <is>
          <t>2026-09</t>
        </is>
      </c>
      <c r="E19" s="42" t="inlineStr">
        <is>
          <t>2026-10</t>
        </is>
      </c>
      <c r="F19" s="42" t="inlineStr">
        <is>
          <t>2026-11</t>
        </is>
      </c>
      <c r="G19" s="42" t="inlineStr">
        <is>
          <t>2026-12</t>
        </is>
      </c>
      <c r="H19" s="42" t="inlineStr">
        <is>
          <t>2027-01</t>
        </is>
      </c>
      <c r="I19" s="42" t="inlineStr">
        <is>
          <t>2027-02</t>
        </is>
      </c>
      <c r="J19" s="42" t="inlineStr">
        <is>
          <t>2027-03</t>
        </is>
      </c>
      <c r="K19" s="42" t="inlineStr">
        <is>
          <t>2027-04</t>
        </is>
      </c>
      <c r="L19" s="42" t="inlineStr">
        <is>
          <t>2027-05</t>
        </is>
      </c>
      <c r="M19" s="42" t="inlineStr">
        <is>
          <t>2027-06</t>
        </is>
      </c>
      <c r="N19" s="5" t="inlineStr">
        <is>
          <t>Total</t>
        </is>
      </c>
    </row>
    <row r="20">
      <c r="A20" s="27" t="inlineStr">
        <is>
          <t>Revenue before VAT</t>
        </is>
      </c>
      <c r="B20" s="10">
        <f>SUMIFS(Sales!$K:$K,Sales!$O:$O,B$19)</f>
        <v/>
      </c>
      <c r="C20" s="10">
        <f>SUMIFS(Sales!$K:$K,Sales!$O:$O,C$19)</f>
        <v/>
      </c>
      <c r="D20" s="10">
        <f>SUMIFS(Sales!$K:$K,Sales!$O:$O,D$19)</f>
        <v/>
      </c>
      <c r="E20" s="10">
        <f>SUMIFS(Sales!$K:$K,Sales!$O:$O,E$19)</f>
        <v/>
      </c>
      <c r="F20" s="10">
        <f>SUMIFS(Sales!$K:$K,Sales!$O:$O,F$19)</f>
        <v/>
      </c>
      <c r="G20" s="10">
        <f>SUMIFS(Sales!$K:$K,Sales!$O:$O,G$19)</f>
        <v/>
      </c>
      <c r="H20" s="10">
        <f>SUMIFS(Sales!$K:$K,Sales!$O:$O,H$19)</f>
        <v/>
      </c>
      <c r="I20" s="10">
        <f>SUMIFS(Sales!$K:$K,Sales!$O:$O,I$19)</f>
        <v/>
      </c>
      <c r="J20" s="10">
        <f>SUMIFS(Sales!$K:$K,Sales!$O:$O,J$19)</f>
        <v/>
      </c>
      <c r="K20" s="10">
        <f>SUMIFS(Sales!$K:$K,Sales!$O:$O,K$19)</f>
        <v/>
      </c>
      <c r="L20" s="10">
        <f>SUMIFS(Sales!$K:$K,Sales!$O:$O,L$19)</f>
        <v/>
      </c>
      <c r="M20" s="10">
        <f>SUMIFS(Sales!$K:$K,Sales!$O:$O,M$19)</f>
        <v/>
      </c>
      <c r="N20" s="10">
        <f>SUM(B20:M20)</f>
        <v/>
      </c>
    </row>
    <row r="21">
      <c r="A21" s="27" t="inlineStr">
        <is>
          <t>Profit from sales</t>
        </is>
      </c>
      <c r="B21" s="10">
        <f>SUMIFS(Sales!$M:$M,Sales!$O:$O,B$19)</f>
        <v/>
      </c>
      <c r="C21" s="10">
        <f>SUMIFS(Sales!$M:$M,Sales!$O:$O,C$19)</f>
        <v/>
      </c>
      <c r="D21" s="10">
        <f>SUMIFS(Sales!$M:$M,Sales!$O:$O,D$19)</f>
        <v/>
      </c>
      <c r="E21" s="10">
        <f>SUMIFS(Sales!$M:$M,Sales!$O:$O,E$19)</f>
        <v/>
      </c>
      <c r="F21" s="10">
        <f>SUMIFS(Sales!$M:$M,Sales!$O:$O,F$19)</f>
        <v/>
      </c>
      <c r="G21" s="10">
        <f>SUMIFS(Sales!$M:$M,Sales!$O:$O,G$19)</f>
        <v/>
      </c>
      <c r="H21" s="10">
        <f>SUMIFS(Sales!$M:$M,Sales!$O:$O,H$19)</f>
        <v/>
      </c>
      <c r="I21" s="10">
        <f>SUMIFS(Sales!$M:$M,Sales!$O:$O,I$19)</f>
        <v/>
      </c>
      <c r="J21" s="10">
        <f>SUMIFS(Sales!$M:$M,Sales!$O:$O,J$19)</f>
        <v/>
      </c>
      <c r="K21" s="10">
        <f>SUMIFS(Sales!$M:$M,Sales!$O:$O,K$19)</f>
        <v/>
      </c>
      <c r="L21" s="10">
        <f>SUMIFS(Sales!$M:$M,Sales!$O:$O,L$19)</f>
        <v/>
      </c>
      <c r="M21" s="10">
        <f>SUMIFS(Sales!$M:$M,Sales!$O:$O,M$19)</f>
        <v/>
      </c>
      <c r="N21" s="10">
        <f>SUM(B21:M21)</f>
        <v/>
      </c>
    </row>
    <row r="22">
      <c r="A22" s="27" t="inlineStr">
        <is>
          <t>Running expenses</t>
        </is>
      </c>
      <c r="B22" s="10">
        <f>SUMIFS(Expenses!$F:$F,Expenses!$G:$G,B$19)</f>
        <v/>
      </c>
      <c r="C22" s="10">
        <f>SUMIFS(Expenses!$F:$F,Expenses!$G:$G,C$19)</f>
        <v/>
      </c>
      <c r="D22" s="10">
        <f>SUMIFS(Expenses!$F:$F,Expenses!$G:$G,D$19)</f>
        <v/>
      </c>
      <c r="E22" s="10">
        <f>SUMIFS(Expenses!$F:$F,Expenses!$G:$G,E$19)</f>
        <v/>
      </c>
      <c r="F22" s="10">
        <f>SUMIFS(Expenses!$F:$F,Expenses!$G:$G,F$19)</f>
        <v/>
      </c>
      <c r="G22" s="10">
        <f>SUMIFS(Expenses!$F:$F,Expenses!$G:$G,G$19)</f>
        <v/>
      </c>
      <c r="H22" s="10">
        <f>SUMIFS(Expenses!$F:$F,Expenses!$G:$G,H$19)</f>
        <v/>
      </c>
      <c r="I22" s="10">
        <f>SUMIFS(Expenses!$F:$F,Expenses!$G:$G,I$19)</f>
        <v/>
      </c>
      <c r="J22" s="10">
        <f>SUMIFS(Expenses!$F:$F,Expenses!$G:$G,J$19)</f>
        <v/>
      </c>
      <c r="K22" s="10">
        <f>SUMIFS(Expenses!$F:$F,Expenses!$G:$G,K$19)</f>
        <v/>
      </c>
      <c r="L22" s="10">
        <f>SUMIFS(Expenses!$F:$F,Expenses!$G:$G,L$19)</f>
        <v/>
      </c>
      <c r="M22" s="10">
        <f>SUMIFS(Expenses!$F:$F,Expenses!$G:$G,M$19)</f>
        <v/>
      </c>
      <c r="N22" s="10">
        <f>SUM(B22:M22)</f>
        <v/>
      </c>
    </row>
    <row r="23">
      <c r="A23" s="3" t="inlineStr">
        <is>
          <t>Net profit</t>
        </is>
      </c>
      <c r="B23" s="41">
        <f>B21-B22</f>
        <v/>
      </c>
      <c r="C23" s="41">
        <f>C21-C22</f>
        <v/>
      </c>
      <c r="D23" s="41">
        <f>D21-D22</f>
        <v/>
      </c>
      <c r="E23" s="41">
        <f>E21-E22</f>
        <v/>
      </c>
      <c r="F23" s="41">
        <f>F21-F22</f>
        <v/>
      </c>
      <c r="G23" s="41">
        <f>G21-G22</f>
        <v/>
      </c>
      <c r="H23" s="41">
        <f>H21-H22</f>
        <v/>
      </c>
      <c r="I23" s="41">
        <f>I21-I22</f>
        <v/>
      </c>
      <c r="J23" s="41">
        <f>J21-J22</f>
        <v/>
      </c>
      <c r="K23" s="41">
        <f>K21-K22</f>
        <v/>
      </c>
      <c r="L23" s="41">
        <f>L21-L22</f>
        <v/>
      </c>
      <c r="M23" s="41">
        <f>M21-M22</f>
        <v/>
      </c>
      <c r="N23" s="41">
        <f>SUM(B23:M23)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2026-10-20T15:07:49Z</dcterms:created>
  <dcterms:modified xmlns:dcterms="http://purl.org/dc/terms/" xmlns:xsi="http://www.w3.org/2001/XMLSchema-instance" xsi:type="dcterms:W3CDTF">2026-10-20T15:07:49Z</dcterms:modified>
</cp:coreProperties>
</file>